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OneDrive\Desktop\Data Analysis\"/>
    </mc:Choice>
  </mc:AlternateContent>
  <bookViews>
    <workbookView xWindow="0" yWindow="0" windowWidth="19160" windowHeight="6970" activeTab="4"/>
  </bookViews>
  <sheets>
    <sheet name="Sheet1" sheetId="1" r:id="rId1"/>
    <sheet name="Sheet2" sheetId="5" r:id="rId2"/>
    <sheet name="new Data" sheetId="6" r:id="rId3"/>
    <sheet name="Dashboard2" sheetId="7" r:id="rId4"/>
    <sheet name="Dashboard" sheetId="3" r:id="rId5"/>
  </sheets>
  <definedNames>
    <definedName name="Slicer_Bank">#N/A</definedName>
    <definedName name="Slicer_Product">#N/A</definedName>
    <definedName name="Slicer_Region">#N/A</definedName>
    <definedName name="Slicer_Sales_men">#N/A</definedName>
    <definedName name="Slicer_States">#N/A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16" i="5" l="1"/>
  <c r="AO16" i="5"/>
  <c r="AL16" i="5"/>
  <c r="AI16" i="5"/>
  <c r="AR16" i="5"/>
</calcChain>
</file>

<file path=xl/sharedStrings.xml><?xml version="1.0" encoding="utf-8"?>
<sst xmlns="http://schemas.openxmlformats.org/spreadsheetml/2006/main" count="4701" uniqueCount="189">
  <si>
    <t>Product</t>
  </si>
  <si>
    <t>Date</t>
  </si>
  <si>
    <t>Row Labels</t>
  </si>
  <si>
    <t>Grand Total</t>
  </si>
  <si>
    <t xml:space="preserve">Personal Loan </t>
  </si>
  <si>
    <t xml:space="preserve">Home Loan </t>
  </si>
  <si>
    <t xml:space="preserve">Business Loan </t>
  </si>
  <si>
    <t xml:space="preserve">Auto Loan </t>
  </si>
  <si>
    <t xml:space="preserve">Used Car Loan  </t>
  </si>
  <si>
    <t>LAP</t>
  </si>
  <si>
    <t>TW</t>
  </si>
  <si>
    <t>Loans</t>
  </si>
  <si>
    <t>States</t>
  </si>
  <si>
    <t>Delhi</t>
  </si>
  <si>
    <t>Sales men</t>
  </si>
  <si>
    <t>Ankit</t>
  </si>
  <si>
    <t>Mohan</t>
  </si>
  <si>
    <t>Amit</t>
  </si>
  <si>
    <t>Santosh</t>
  </si>
  <si>
    <t>Sunil</t>
  </si>
  <si>
    <t>Vikas</t>
  </si>
  <si>
    <t>Dev</t>
  </si>
  <si>
    <t>Sum of Loans</t>
  </si>
  <si>
    <t>Ship to City</t>
  </si>
  <si>
    <t>Region</t>
  </si>
  <si>
    <t>Bank</t>
  </si>
  <si>
    <t>Lucknow</t>
  </si>
  <si>
    <t>UP</t>
  </si>
  <si>
    <t xml:space="preserve">North </t>
  </si>
  <si>
    <t xml:space="preserve">HDFC </t>
  </si>
  <si>
    <t>Jaipur</t>
  </si>
  <si>
    <t>RJ</t>
  </si>
  <si>
    <t xml:space="preserve">AXIS </t>
  </si>
  <si>
    <t>Ghaziabad</t>
  </si>
  <si>
    <t>ICICI</t>
  </si>
  <si>
    <t>Nagpur</t>
  </si>
  <si>
    <t>MH</t>
  </si>
  <si>
    <t xml:space="preserve">West </t>
  </si>
  <si>
    <t>IDFC FIRST</t>
  </si>
  <si>
    <t>Visakhapatnam</t>
  </si>
  <si>
    <t>AP-N</t>
  </si>
  <si>
    <t xml:space="preserve">South </t>
  </si>
  <si>
    <t>RBL</t>
  </si>
  <si>
    <t>Kolkata</t>
  </si>
  <si>
    <t>WB</t>
  </si>
  <si>
    <t xml:space="preserve">East </t>
  </si>
  <si>
    <t>BANDHAN</t>
  </si>
  <si>
    <t>Vadodara</t>
  </si>
  <si>
    <t>GJ</t>
  </si>
  <si>
    <t>Coimbatore South</t>
  </si>
  <si>
    <t>TN</t>
  </si>
  <si>
    <t>Bhopal</t>
  </si>
  <si>
    <t>MP</t>
  </si>
  <si>
    <t xml:space="preserve">Central </t>
  </si>
  <si>
    <t>Chennai</t>
  </si>
  <si>
    <t>Saltlake</t>
  </si>
  <si>
    <t>Bangalore</t>
  </si>
  <si>
    <t>KA</t>
  </si>
  <si>
    <t>Bangalore North</t>
  </si>
  <si>
    <t>Thane</t>
  </si>
  <si>
    <t>Pune City</t>
  </si>
  <si>
    <t>Jorhat</t>
  </si>
  <si>
    <t>AS</t>
  </si>
  <si>
    <t xml:space="preserve">North East </t>
  </si>
  <si>
    <t>Mangalore</t>
  </si>
  <si>
    <t>New Delhi</t>
  </si>
  <si>
    <t>DL</t>
  </si>
  <si>
    <t>North 24 Paraganas</t>
  </si>
  <si>
    <t>Ernakulam</t>
  </si>
  <si>
    <t>KL</t>
  </si>
  <si>
    <t>Kochi</t>
  </si>
  <si>
    <t>Hyderabad</t>
  </si>
  <si>
    <t>TS</t>
  </si>
  <si>
    <t>Gmc</t>
  </si>
  <si>
    <t>Mumbai</t>
  </si>
  <si>
    <t>Raipur</t>
  </si>
  <si>
    <t>CG</t>
  </si>
  <si>
    <t>Bargarh</t>
  </si>
  <si>
    <t>OD</t>
  </si>
  <si>
    <t>Ranchi</t>
  </si>
  <si>
    <t>JH</t>
  </si>
  <si>
    <t>Sampatchak</t>
  </si>
  <si>
    <t>BR</t>
  </si>
  <si>
    <t>Dehradun</t>
  </si>
  <si>
    <t>UK</t>
  </si>
  <si>
    <t>Chandigarh</t>
  </si>
  <si>
    <t>CH</t>
  </si>
  <si>
    <t>Indore</t>
  </si>
  <si>
    <t>Ahmadabad City</t>
  </si>
  <si>
    <t>Secunderabad</t>
  </si>
  <si>
    <t>Dimapur</t>
  </si>
  <si>
    <t>NL</t>
  </si>
  <si>
    <t>Vijayawada</t>
  </si>
  <si>
    <t>Bhubaneswar</t>
  </si>
  <si>
    <t>Bediadanga</t>
  </si>
  <si>
    <t>Aurangabad</t>
  </si>
  <si>
    <t>Bhiwandi</t>
  </si>
  <si>
    <t>Vijayawada (Urban)</t>
  </si>
  <si>
    <t>Gurgaon</t>
  </si>
  <si>
    <t>HR</t>
  </si>
  <si>
    <t>Pollachi</t>
  </si>
  <si>
    <t>Rajkot</t>
  </si>
  <si>
    <t>Aizwal</t>
  </si>
  <si>
    <t>MZ</t>
  </si>
  <si>
    <t>Belgaum</t>
  </si>
  <si>
    <t>Vellore</t>
  </si>
  <si>
    <t>Cuttack Sadar</t>
  </si>
  <si>
    <t>Gurugram</t>
  </si>
  <si>
    <t>Hisar</t>
  </si>
  <si>
    <t>Sirkali Tk</t>
  </si>
  <si>
    <t>Chennai City Corporation</t>
  </si>
  <si>
    <t>Ambattur</t>
  </si>
  <si>
    <t>Kota</t>
  </si>
  <si>
    <t>Kannur</t>
  </si>
  <si>
    <t>Kurnool</t>
  </si>
  <si>
    <t>Thiruvananthapuram</t>
  </si>
  <si>
    <t>Mysore</t>
  </si>
  <si>
    <t>Bangarapet</t>
  </si>
  <si>
    <t>Hubli</t>
  </si>
  <si>
    <t>Puducherry</t>
  </si>
  <si>
    <t>PY</t>
  </si>
  <si>
    <t>Goa</t>
  </si>
  <si>
    <t>GA</t>
  </si>
  <si>
    <t>Haldwani</t>
  </si>
  <si>
    <t>Dibrugarh</t>
  </si>
  <si>
    <t>Alipurduar</t>
  </si>
  <si>
    <t>Alwar</t>
  </si>
  <si>
    <t>Jalandhar - I</t>
  </si>
  <si>
    <t>PB</t>
  </si>
  <si>
    <t>Krishnagar - I</t>
  </si>
  <si>
    <t>Thalassery</t>
  </si>
  <si>
    <t>Walaja</t>
  </si>
  <si>
    <t>Madurai South</t>
  </si>
  <si>
    <t>Naharlagun</t>
  </si>
  <si>
    <t>AR</t>
  </si>
  <si>
    <t>Perambur Purasawalkam</t>
  </si>
  <si>
    <t>Kalyan</t>
  </si>
  <si>
    <t>Chennai City</t>
  </si>
  <si>
    <t>Kancheepuram</t>
  </si>
  <si>
    <t>Valsad</t>
  </si>
  <si>
    <t>Tiruchirappalli</t>
  </si>
  <si>
    <t>Berhampore</t>
  </si>
  <si>
    <t>Koyambedu</t>
  </si>
  <si>
    <t>Shimoga</t>
  </si>
  <si>
    <t>Pondicherry</t>
  </si>
  <si>
    <t>Guwahati</t>
  </si>
  <si>
    <t>Hyd</t>
  </si>
  <si>
    <t>Shillong</t>
  </si>
  <si>
    <t>ML</t>
  </si>
  <si>
    <t>Thrissur</t>
  </si>
  <si>
    <t>Pune</t>
  </si>
  <si>
    <t>Tinsukia</t>
  </si>
  <si>
    <t>Pauri</t>
  </si>
  <si>
    <t>Patna</t>
  </si>
  <si>
    <t>Palayamkottai</t>
  </si>
  <si>
    <t>Vasai</t>
  </si>
  <si>
    <t>Jammu</t>
  </si>
  <si>
    <t>JK</t>
  </si>
  <si>
    <t>Ajmer</t>
  </si>
  <si>
    <t>Hosakote</t>
  </si>
  <si>
    <t>Srikakulam</t>
  </si>
  <si>
    <t>Kothagudem</t>
  </si>
  <si>
    <t>Kalavad</t>
  </si>
  <si>
    <t>Kottayam</t>
  </si>
  <si>
    <t>Bangalore South</t>
  </si>
  <si>
    <t>Marthandam</t>
  </si>
  <si>
    <t>Jodhpur</t>
  </si>
  <si>
    <t>Agra</t>
  </si>
  <si>
    <t>Barasat - I</t>
  </si>
  <si>
    <t>Siliguri</t>
  </si>
  <si>
    <t>Amravati</t>
  </si>
  <si>
    <t>Tambaram</t>
  </si>
  <si>
    <t>Vapi</t>
  </si>
  <si>
    <t>Nashik</t>
  </si>
  <si>
    <t>Thanesar</t>
  </si>
  <si>
    <t>Surat City</t>
  </si>
  <si>
    <t>Girwa</t>
  </si>
  <si>
    <t>Tumkur</t>
  </si>
  <si>
    <t>Malad East</t>
  </si>
  <si>
    <t>Cooch Behar - I</t>
  </si>
  <si>
    <t>Sadar</t>
  </si>
  <si>
    <t>TR</t>
  </si>
  <si>
    <t>Birbhum</t>
  </si>
  <si>
    <t>Rohan</t>
  </si>
  <si>
    <t>Alok</t>
  </si>
  <si>
    <t xml:space="preserve">top </t>
  </si>
  <si>
    <t>top</t>
  </si>
  <si>
    <t>Target</t>
  </si>
  <si>
    <t>ACH</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</si>
</sst>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 #,##0.00_ ;_ * \-#,##0.00_ ;_ * &quot;-&quot;??_ ;_ @_ "/>
    <numFmt numFmtId="164" formatCode="_ * #,##0_ ;_ * \-#,##0_ ;_ * &quot;-&quot;??_ ;_ @_ "/>
    <numFmt numFmtId="165" formatCode="&quot;₹&quot;\ #,##0.00"/>
  </numFmts>
  <fonts count="9" x14ac:knownFonts="1">
    <font>
      <sz val="11"/>
      <color theme="1"/>
      <name val="Calibri"/>
      <family val="2"/>
      <scheme val="minor"/>
    </font>
    <font>
      <sz val="10"/>
      <name val="Arial"/>
      <family val="2"/>
    </font>
    <font>
      <b/>
      <sz val="11"/>
      <name val="Century Gothic"/>
      <family val="2"/>
    </font>
    <font>
      <sz val="11"/>
      <name val="Century Gothic"/>
      <family val="2"/>
    </font>
    <font>
      <sz val="14"/>
      <color theme="1"/>
      <name val="Calibri"/>
      <family val="2"/>
      <scheme val="minor"/>
    </font>
    <font>
      <sz val="11"/>
      <name val="Century Gothic"/>
    </font>
    <font>
      <sz val="28"/>
      <color theme="1"/>
      <name val="Calibri"/>
      <family val="2"/>
      <scheme val="minor"/>
    </font>
    <font>
      <sz val="28"/>
      <color theme="0"/>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0" fontId="1" fillId="0" borderId="0"/>
    <xf numFmtId="43" fontId="8" fillId="0" borderId="0" applyFont="0" applyFill="0" applyBorder="0" applyAlignment="0" applyProtection="0"/>
  </cellStyleXfs>
  <cellXfs count="29">
    <xf numFmtId="0" fontId="0" fillId="0" borderId="0" xfId="0"/>
    <xf numFmtId="0" fontId="2" fillId="0" borderId="0" xfId="1" applyFont="1" applyAlignment="1">
      <alignment horizontal="center"/>
    </xf>
    <xf numFmtId="0" fontId="3" fillId="0" borderId="0" xfId="1" applyFont="1"/>
    <xf numFmtId="4" fontId="3" fillId="0" borderId="0" xfId="1" applyNumberFormat="1" applyFont="1" applyAlignment="1">
      <alignment horizontal="center"/>
    </xf>
    <xf numFmtId="15" fontId="3" fillId="0" borderId="0" xfId="1"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5" fillId="0" borderId="0" xfId="1" applyFont="1" applyFill="1"/>
    <xf numFmtId="4" fontId="5" fillId="0" borderId="0" xfId="1" applyNumberFormat="1" applyFont="1" applyFill="1" applyAlignment="1">
      <alignment horizontal="center"/>
    </xf>
    <xf numFmtId="0" fontId="3" fillId="0" borderId="0" xfId="1" applyFont="1" applyFill="1"/>
    <xf numFmtId="0" fontId="0" fillId="0" borderId="0" xfId="0" applyBorder="1"/>
    <xf numFmtId="4" fontId="3" fillId="0" borderId="0" xfId="1" applyNumberFormat="1" applyFont="1" applyFill="1" applyAlignment="1">
      <alignment horizontal="center"/>
    </xf>
    <xf numFmtId="15" fontId="3" fillId="0" borderId="0" xfId="1" applyNumberFormat="1" applyFont="1" applyFill="1" applyAlignment="1">
      <alignment horizontal="center"/>
    </xf>
    <xf numFmtId="0" fontId="2" fillId="0" borderId="0" xfId="1" applyFont="1" applyFill="1" applyAlignment="1">
      <alignment horizontal="center"/>
    </xf>
    <xf numFmtId="15" fontId="5" fillId="0" borderId="0" xfId="1" applyNumberFormat="1" applyFont="1" applyFill="1" applyAlignment="1">
      <alignment horizontal="center"/>
    </xf>
    <xf numFmtId="0" fontId="0" fillId="2" borderId="0" xfId="0" applyFill="1" applyBorder="1"/>
    <xf numFmtId="0" fontId="4" fillId="2" borderId="0" xfId="0" applyFont="1" applyFill="1" applyBorder="1"/>
    <xf numFmtId="14" fontId="0" fillId="0" borderId="0" xfId="0" applyNumberFormat="1" applyAlignment="1">
      <alignment horizontal="center"/>
    </xf>
    <xf numFmtId="165" fontId="0" fillId="0" borderId="0" xfId="2" applyNumberFormat="1" applyFont="1" applyAlignment="1">
      <alignment vertical="top"/>
    </xf>
    <xf numFmtId="165" fontId="0" fillId="0" borderId="0" xfId="2" applyNumberFormat="1" applyFont="1" applyAlignment="1">
      <alignment horizontal="left"/>
    </xf>
    <xf numFmtId="164" fontId="0" fillId="0" borderId="0" xfId="2" applyNumberFormat="1" applyFont="1"/>
    <xf numFmtId="9" fontId="0" fillId="0" borderId="0" xfId="0" applyNumberFormat="1"/>
    <xf numFmtId="164" fontId="0" fillId="0" borderId="0" xfId="0" applyNumberFormat="1"/>
    <xf numFmtId="165" fontId="0" fillId="0" borderId="0" xfId="0" applyNumberFormat="1"/>
    <xf numFmtId="165" fontId="0" fillId="0" borderId="0" xfId="2" applyNumberFormat="1" applyFont="1"/>
    <xf numFmtId="0" fontId="7" fillId="2" borderId="0" xfId="0" applyFont="1" applyFill="1" applyBorder="1" applyAlignment="1">
      <alignment horizontal="center"/>
    </xf>
    <xf numFmtId="0" fontId="6" fillId="2" borderId="0" xfId="0" applyFont="1" applyFill="1" applyBorder="1" applyAlignment="1">
      <alignment horizontal="center"/>
    </xf>
  </cellXfs>
  <cellStyles count="3">
    <cellStyle name="Comma" xfId="2" builtinId="3"/>
    <cellStyle name="Normal" xfId="0" builtinId="0"/>
    <cellStyle name="Normal 4 3" xfId="1"/>
  </cellStyles>
  <dxfs count="396">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3" formatCode="0%"/>
    </dxf>
    <dxf>
      <numFmt numFmtId="0" formatCode="General"/>
    </dxf>
    <dxf>
      <numFmt numFmtId="0" formatCode="General"/>
    </dxf>
    <dxf>
      <numFmt numFmtId="14" formatCode="0.00%"/>
    </dxf>
    <dxf>
      <numFmt numFmtId="13"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3" formatCode="0%"/>
    </dxf>
    <dxf>
      <numFmt numFmtId="0" formatCode="General"/>
    </dxf>
    <dxf>
      <numFmt numFmtId="0" formatCode="General"/>
    </dxf>
    <dxf>
      <numFmt numFmtId="14" formatCode="0.00%"/>
    </dxf>
    <dxf>
      <numFmt numFmtId="13"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3" formatCode="0%"/>
    </dxf>
    <dxf>
      <numFmt numFmtId="0" formatCode="General"/>
    </dxf>
    <dxf>
      <numFmt numFmtId="0" formatCode="General"/>
    </dxf>
    <dxf>
      <numFmt numFmtId="14" formatCode="0.00%"/>
    </dxf>
    <dxf>
      <numFmt numFmtId="13"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3" formatCode="0%"/>
    </dxf>
    <dxf>
      <numFmt numFmtId="0" formatCode="General"/>
    </dxf>
    <dxf>
      <numFmt numFmtId="0" formatCode="General"/>
    </dxf>
    <dxf>
      <numFmt numFmtId="14" formatCode="0.00%"/>
    </dxf>
    <dxf>
      <numFmt numFmtId="13"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3" formatCode="0%"/>
    </dxf>
    <dxf>
      <numFmt numFmtId="0" formatCode="General"/>
    </dxf>
    <dxf>
      <numFmt numFmtId="0" formatCode="General"/>
    </dxf>
    <dxf>
      <numFmt numFmtId="14" formatCode="0.00%"/>
    </dxf>
    <dxf>
      <numFmt numFmtId="13"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3" formatCode="0%"/>
    </dxf>
    <dxf>
      <numFmt numFmtId="0" formatCode="General"/>
    </dxf>
    <dxf>
      <numFmt numFmtId="0" formatCode="General"/>
    </dxf>
    <dxf>
      <numFmt numFmtId="14" formatCode="0.00%"/>
    </dxf>
    <dxf>
      <numFmt numFmtId="13"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3" formatCode="0%"/>
    </dxf>
    <dxf>
      <numFmt numFmtId="0" formatCode="General"/>
    </dxf>
    <dxf>
      <numFmt numFmtId="0" formatCode="General"/>
    </dxf>
    <dxf>
      <numFmt numFmtId="14" formatCode="0.00%"/>
    </dxf>
    <dxf>
      <numFmt numFmtId="13"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3" formatCode="0%"/>
    </dxf>
    <dxf>
      <numFmt numFmtId="0" formatCode="General"/>
    </dxf>
    <dxf>
      <numFmt numFmtId="0" formatCode="General"/>
    </dxf>
    <dxf>
      <numFmt numFmtId="14" formatCode="0.00%"/>
    </dxf>
    <dxf>
      <numFmt numFmtId="13"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3" formatCode="0%"/>
    </dxf>
    <dxf>
      <numFmt numFmtId="0" formatCode="General"/>
    </dxf>
    <dxf>
      <numFmt numFmtId="0" formatCode="General"/>
    </dxf>
    <dxf>
      <numFmt numFmtId="14" formatCode="0.00%"/>
    </dxf>
    <dxf>
      <numFmt numFmtId="13"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3" formatCode="0%"/>
    </dxf>
    <dxf>
      <numFmt numFmtId="0" formatCode="General"/>
    </dxf>
    <dxf>
      <numFmt numFmtId="0" formatCode="General"/>
    </dxf>
    <dxf>
      <numFmt numFmtId="14" formatCode="0.00%"/>
    </dxf>
    <dxf>
      <numFmt numFmtId="13"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3" formatCode="0%"/>
    </dxf>
    <dxf>
      <numFmt numFmtId="0" formatCode="General"/>
    </dxf>
    <dxf>
      <numFmt numFmtId="0" formatCode="General"/>
    </dxf>
    <dxf>
      <numFmt numFmtId="14" formatCode="0.00%"/>
    </dxf>
    <dxf>
      <numFmt numFmtId="13"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3" formatCode="0%"/>
    </dxf>
    <dxf>
      <numFmt numFmtId="0" formatCode="General"/>
    </dxf>
    <dxf>
      <numFmt numFmtId="0" formatCode="General"/>
    </dxf>
    <dxf>
      <numFmt numFmtId="14" formatCode="0.00%"/>
    </dxf>
    <dxf>
      <numFmt numFmtId="13"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quot;₹&quot;\ #,##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3"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3" formatCode="0%"/>
    </dxf>
    <dxf>
      <numFmt numFmtId="14" formatCode="0.00%"/>
    </dxf>
    <dxf>
      <numFmt numFmtId="0" formatCode="General"/>
    </dxf>
    <dxf>
      <numFmt numFmtId="0" formatCode="General"/>
    </dxf>
    <dxf>
      <numFmt numFmtId="164" formatCode="_ * #,##0_ ;_ * \-#,##0_ ;_ * &quot;-&quot;??_ ;_ @_ "/>
    </dxf>
    <dxf>
      <numFmt numFmtId="164" formatCode="_ * #,##0_ ;_ * \-#,##0_ ;_ * &quot;-&quot;??_ ;_ @_ "/>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Century Gothic"/>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auto="1"/>
        <name val="Century Gothic"/>
        <scheme val="none"/>
      </font>
    </dxf>
    <dxf>
      <font>
        <b val="0"/>
        <i val="0"/>
        <strike val="0"/>
        <condense val="0"/>
        <extend val="0"/>
        <outline val="0"/>
        <shadow val="0"/>
        <u val="none"/>
        <vertAlign val="baseline"/>
        <sz val="11"/>
        <color auto="1"/>
        <name val="Century Gothic"/>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auto="1"/>
        <name val="Century Gothic"/>
        <scheme val="none"/>
      </font>
    </dxf>
    <dxf>
      <font>
        <b val="0"/>
        <i val="0"/>
        <strike val="0"/>
        <condense val="0"/>
        <extend val="0"/>
        <outline val="0"/>
        <shadow val="0"/>
        <u val="none"/>
        <vertAlign val="baseline"/>
        <sz val="11"/>
        <color auto="1"/>
        <name val="Century Gothic"/>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auto="1"/>
        <name val="Century Gothic"/>
        <scheme val="none"/>
      </font>
    </dxf>
    <dxf>
      <font>
        <b val="0"/>
        <i val="0"/>
        <strike val="0"/>
        <condense val="0"/>
        <extend val="0"/>
        <outline val="0"/>
        <shadow val="0"/>
        <u val="none"/>
        <vertAlign val="baseline"/>
        <sz val="11"/>
        <color auto="1"/>
        <name val="Century Gothic"/>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auto="1"/>
        <name val="Century Gothic"/>
        <scheme val="none"/>
      </font>
    </dxf>
    <dxf>
      <font>
        <b val="0"/>
        <i val="0"/>
        <strike val="0"/>
        <condense val="0"/>
        <extend val="0"/>
        <outline val="0"/>
        <shadow val="0"/>
        <u val="none"/>
        <vertAlign val="baseline"/>
        <sz val="11"/>
        <color auto="1"/>
        <name val="Century Gothic"/>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auto="1"/>
        <name val="Century Gothic"/>
        <scheme val="none"/>
      </font>
      <numFmt numFmtId="20" formatCode="dd/mmm/yy"/>
      <alignment horizontal="center" vertical="bottom" textRotation="0" wrapText="0" indent="0" justifyLastLine="0" shrinkToFit="0" readingOrder="0"/>
    </dxf>
    <dxf>
      <font>
        <b val="0"/>
        <i val="0"/>
        <strike val="0"/>
        <condense val="0"/>
        <extend val="0"/>
        <outline val="0"/>
        <shadow val="0"/>
        <u val="none"/>
        <vertAlign val="baseline"/>
        <sz val="11"/>
        <color auto="1"/>
        <name val="Century Gothic"/>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auto="1"/>
        <name val="Century Gothic"/>
        <scheme val="none"/>
      </font>
      <numFmt numFmtId="4" formatCode="#,##0.00"/>
      <alignment horizontal="center" vertical="bottom" textRotation="0" wrapText="0" indent="0" justifyLastLine="0" shrinkToFit="0" readingOrder="0"/>
    </dxf>
    <dxf>
      <font>
        <b val="0"/>
        <i val="0"/>
        <strike val="0"/>
        <condense val="0"/>
        <extend val="0"/>
        <outline val="0"/>
        <shadow val="0"/>
        <u val="none"/>
        <vertAlign val="baseline"/>
        <sz val="11"/>
        <color auto="1"/>
        <name val="Century Gothic"/>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auto="1"/>
        <name val="Century Gothic"/>
        <scheme val="none"/>
      </font>
    </dxf>
    <dxf>
      <font>
        <b val="0"/>
        <i val="0"/>
        <strike val="0"/>
        <condense val="0"/>
        <extend val="0"/>
        <outline val="0"/>
        <shadow val="0"/>
        <u val="none"/>
        <vertAlign val="baseline"/>
        <sz val="11"/>
        <color auto="1"/>
        <name val="Century Gothic"/>
        <scheme val="none"/>
      </font>
    </dxf>
    <dxf>
      <font>
        <b val="0"/>
        <i val="0"/>
        <strike val="0"/>
        <condense val="0"/>
        <extend val="0"/>
        <outline val="0"/>
        <shadow val="0"/>
        <u val="none"/>
        <vertAlign val="baseline"/>
        <sz val="11"/>
        <color auto="1"/>
        <name val="Century Gothic"/>
        <scheme val="none"/>
      </font>
    </dxf>
    <dxf>
      <font>
        <b/>
        <i val="0"/>
        <strike val="0"/>
        <condense val="0"/>
        <extend val="0"/>
        <outline val="0"/>
        <shadow val="0"/>
        <u val="none"/>
        <vertAlign val="baseline"/>
        <sz val="11"/>
        <color auto="1"/>
        <name val="Century Gothic"/>
        <scheme val="none"/>
      </font>
      <alignment horizontal="center" vertical="bottom" textRotation="0" wrapText="0" indent="0" justifyLastLine="0" shrinkToFit="0" readingOrder="0"/>
    </dxf>
  </dxfs>
  <tableStyles count="1" defaultTableStyle="TableStyleMedium2" defaultPivotStyle="PivotStyleLight16">
    <tableStyle name="Table Style 1" pivot="0" count="0"/>
  </tableStyles>
  <colors>
    <mruColors>
      <color rgb="FFFF9999"/>
      <color rgb="FF0066FF"/>
      <color rgb="FFF10FD1"/>
      <color rgb="FF001C64"/>
      <color rgb="FF001464"/>
      <color rgb="FF00194C"/>
      <color rgb="FF002A64"/>
      <color rgb="FF002A7E"/>
      <color rgb="FFFF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Dashboard.xlsx]Sheet2!PivotTable7</c:name>
    <c:fmtId val="7"/>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Top 10 Cities</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9486504621704902"/>
          <c:y val="5.8367630220719058E-2"/>
          <c:w val="0.39035234508729894"/>
          <c:h val="0.89878292730187248"/>
        </c:manualLayout>
      </c:layout>
      <c:barChart>
        <c:barDir val="bar"/>
        <c:grouping val="clustered"/>
        <c:varyColors val="0"/>
        <c:ser>
          <c:idx val="0"/>
          <c:order val="0"/>
          <c:tx>
            <c:strRef>
              <c:f>Sheet2!$AC$1</c:f>
              <c:strCache>
                <c:ptCount val="1"/>
                <c:pt idx="0">
                  <c:v>Total</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Sheet2!$AB$2:$AB$12</c:f>
              <c:strCache>
                <c:ptCount val="10"/>
                <c:pt idx="0">
                  <c:v>Ahmadabad City</c:v>
                </c:pt>
                <c:pt idx="1">
                  <c:v>Bangalore</c:v>
                </c:pt>
                <c:pt idx="2">
                  <c:v>Bangalore North</c:v>
                </c:pt>
                <c:pt idx="3">
                  <c:v>Bhubaneswar</c:v>
                </c:pt>
                <c:pt idx="4">
                  <c:v>Chennai</c:v>
                </c:pt>
                <c:pt idx="5">
                  <c:v>Coimbatore South</c:v>
                </c:pt>
                <c:pt idx="6">
                  <c:v>Jaipur</c:v>
                </c:pt>
                <c:pt idx="7">
                  <c:v>Kolkata</c:v>
                </c:pt>
                <c:pt idx="8">
                  <c:v>Mumbai</c:v>
                </c:pt>
                <c:pt idx="9">
                  <c:v>New Delhi</c:v>
                </c:pt>
              </c:strCache>
            </c:strRef>
          </c:cat>
          <c:val>
            <c:numRef>
              <c:f>Sheet2!$AC$2:$AC$12</c:f>
              <c:numCache>
                <c:formatCode>_ * #,##0_ ;_ * \-#,##0_ ;_ * "-"??_ ;_ @_ </c:formatCode>
                <c:ptCount val="10"/>
                <c:pt idx="0">
                  <c:v>68419</c:v>
                </c:pt>
                <c:pt idx="1">
                  <c:v>45837</c:v>
                </c:pt>
                <c:pt idx="2">
                  <c:v>46914</c:v>
                </c:pt>
                <c:pt idx="3">
                  <c:v>44199</c:v>
                </c:pt>
                <c:pt idx="4">
                  <c:v>62340</c:v>
                </c:pt>
                <c:pt idx="5">
                  <c:v>42585</c:v>
                </c:pt>
                <c:pt idx="6">
                  <c:v>60612</c:v>
                </c:pt>
                <c:pt idx="7">
                  <c:v>52889</c:v>
                </c:pt>
                <c:pt idx="8">
                  <c:v>44723</c:v>
                </c:pt>
                <c:pt idx="9">
                  <c:v>45340</c:v>
                </c:pt>
              </c:numCache>
            </c:numRef>
          </c:val>
        </c:ser>
        <c:dLbls>
          <c:dLblPos val="outEnd"/>
          <c:showLegendKey val="0"/>
          <c:showVal val="1"/>
          <c:showCatName val="0"/>
          <c:showSerName val="0"/>
          <c:showPercent val="0"/>
          <c:showBubbleSize val="0"/>
        </c:dLbls>
        <c:gapWidth val="219"/>
        <c:axId val="-1454151136"/>
        <c:axId val="-1454146784"/>
      </c:barChart>
      <c:catAx>
        <c:axId val="-145415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crossAx val="-1454146784"/>
        <c:crosses val="autoZero"/>
        <c:auto val="1"/>
        <c:lblAlgn val="ctr"/>
        <c:lblOffset val="100"/>
        <c:noMultiLvlLbl val="0"/>
      </c:catAx>
      <c:valAx>
        <c:axId val="-1454146784"/>
        <c:scaling>
          <c:orientation val="minMax"/>
        </c:scaling>
        <c:delete val="1"/>
        <c:axPos val="b"/>
        <c:numFmt formatCode="_ * #,##0_ ;_ * \-#,##0_ ;_ * &quot;-&quot;??_ ;_ @_ " sourceLinked="1"/>
        <c:majorTickMark val="none"/>
        <c:minorTickMark val="none"/>
        <c:tickLblPos val="nextTo"/>
        <c:crossAx val="-1454151136"/>
        <c:crosses val="autoZero"/>
        <c:crossBetween val="between"/>
      </c:valAx>
      <c:spPr>
        <a:noFill/>
        <a:ln>
          <a:noFill/>
        </a:ln>
        <a:effectLst/>
      </c:spPr>
    </c:plotArea>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baseline="0">
                <a:solidFill>
                  <a:schemeClr val="bg1"/>
                </a:solidFill>
              </a:rPr>
              <a:t>Total by Products</a:t>
            </a:r>
          </a:p>
        </c:rich>
      </c:tx>
      <c:layout>
        <c:manualLayout>
          <c:xMode val="edge"/>
          <c:yMode val="edge"/>
          <c:x val="0.46315339635848218"/>
          <c:y val="7.634195787066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Sheet2!$B$1</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Sheet2!$A$2:$A$9</c:f>
              <c:strCache>
                <c:ptCount val="7"/>
                <c:pt idx="0">
                  <c:v>Auto Loan </c:v>
                </c:pt>
                <c:pt idx="1">
                  <c:v>Business Loan </c:v>
                </c:pt>
                <c:pt idx="2">
                  <c:v>Home Loan </c:v>
                </c:pt>
                <c:pt idx="3">
                  <c:v>LAP</c:v>
                </c:pt>
                <c:pt idx="4">
                  <c:v>Personal Loan </c:v>
                </c:pt>
                <c:pt idx="5">
                  <c:v>TW</c:v>
                </c:pt>
                <c:pt idx="6">
                  <c:v>Used Car Loan  </c:v>
                </c:pt>
              </c:strCache>
            </c:strRef>
          </c:cat>
          <c:val>
            <c:numRef>
              <c:f>Sheet2!$B$2:$B$9</c:f>
              <c:numCache>
                <c:formatCode>_ * #,##0_ ;_ * \-#,##0_ ;_ * "-"??_ ;_ @_ </c:formatCode>
                <c:ptCount val="7"/>
                <c:pt idx="0">
                  <c:v>271969</c:v>
                </c:pt>
                <c:pt idx="1">
                  <c:v>110936</c:v>
                </c:pt>
                <c:pt idx="2">
                  <c:v>623004</c:v>
                </c:pt>
                <c:pt idx="3">
                  <c:v>201819</c:v>
                </c:pt>
                <c:pt idx="4">
                  <c:v>278029</c:v>
                </c:pt>
                <c:pt idx="5">
                  <c:v>358409</c:v>
                </c:pt>
                <c:pt idx="6">
                  <c:v>157625</c:v>
                </c:pt>
              </c:numCache>
            </c:numRef>
          </c:val>
        </c:ser>
        <c:dLbls>
          <c:dLblPos val="outEnd"/>
          <c:showLegendKey val="0"/>
          <c:showVal val="1"/>
          <c:showCatName val="0"/>
          <c:showSerName val="0"/>
          <c:showPercent val="0"/>
          <c:showBubbleSize val="0"/>
        </c:dLbls>
        <c:gapWidth val="219"/>
        <c:overlap val="-27"/>
        <c:axId val="-1454155488"/>
        <c:axId val="-1454146240"/>
      </c:barChart>
      <c:catAx>
        <c:axId val="-1454155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crossAx val="-1454146240"/>
        <c:crosses val="autoZero"/>
        <c:auto val="1"/>
        <c:lblAlgn val="ctr"/>
        <c:lblOffset val="100"/>
        <c:noMultiLvlLbl val="0"/>
      </c:catAx>
      <c:valAx>
        <c:axId val="-1454146240"/>
        <c:scaling>
          <c:orientation val="minMax"/>
        </c:scaling>
        <c:delete val="1"/>
        <c:axPos val="l"/>
        <c:numFmt formatCode="_ * #,##0_ ;_ * \-#,##0_ ;_ * &quot;-&quot;??_ ;_ @_ " sourceLinked="1"/>
        <c:majorTickMark val="out"/>
        <c:minorTickMark val="none"/>
        <c:tickLblPos val="nextTo"/>
        <c:crossAx val="-1454155488"/>
        <c:crosses val="autoZero"/>
        <c:crossBetween val="between"/>
      </c:valAx>
      <c:spPr>
        <a:noFill/>
        <a:ln>
          <a:noFill/>
        </a:ln>
        <a:effectLst/>
      </c:spPr>
    </c:plotArea>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Dashboard.xlsx]Sheet2!PivotTable17</c:name>
    <c:fmtId val="5"/>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by Sales Men</a:t>
            </a:r>
          </a:p>
        </c:rich>
      </c:tx>
      <c:layout>
        <c:manualLayout>
          <c:xMode val="edge"/>
          <c:yMode val="edge"/>
          <c:x val="0.67770523041986519"/>
          <c:y val="5.0984936268829661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s>
    <c:plotArea>
      <c:layout>
        <c:manualLayout>
          <c:layoutTarget val="inner"/>
          <c:xMode val="edge"/>
          <c:yMode val="edge"/>
          <c:x val="9.1405919087700238E-2"/>
          <c:y val="0.10340854597342704"/>
          <c:w val="0.53442849182313745"/>
          <c:h val="0.72531712864257658"/>
        </c:manualLayout>
      </c:layout>
      <c:pieChart>
        <c:varyColors val="1"/>
        <c:ser>
          <c:idx val="0"/>
          <c:order val="0"/>
          <c:tx>
            <c:strRef>
              <c:f>Sheet2!$H$1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Sheet2!$G$2:$G$11</c:f>
              <c:strCache>
                <c:ptCount val="9"/>
                <c:pt idx="0">
                  <c:v>Alok</c:v>
                </c:pt>
                <c:pt idx="1">
                  <c:v>Amit</c:v>
                </c:pt>
                <c:pt idx="2">
                  <c:v>Ankit</c:v>
                </c:pt>
                <c:pt idx="3">
                  <c:v>Dev</c:v>
                </c:pt>
                <c:pt idx="4">
                  <c:v>Mohan</c:v>
                </c:pt>
                <c:pt idx="5">
                  <c:v>Rohan</c:v>
                </c:pt>
                <c:pt idx="6">
                  <c:v>Santosh</c:v>
                </c:pt>
                <c:pt idx="7">
                  <c:v>Sunil</c:v>
                </c:pt>
                <c:pt idx="8">
                  <c:v>Vikas</c:v>
                </c:pt>
              </c:strCache>
            </c:strRef>
          </c:cat>
          <c:val>
            <c:numRef>
              <c:f>Sheet2!$H$2:$H$11</c:f>
              <c:numCache>
                <c:formatCode>0%</c:formatCode>
                <c:ptCount val="9"/>
                <c:pt idx="0">
                  <c:v>5.4008135714467692E-2</c:v>
                </c:pt>
                <c:pt idx="1">
                  <c:v>1.1948300297083962E-2</c:v>
                </c:pt>
                <c:pt idx="2">
                  <c:v>8.4153140862357756E-2</c:v>
                </c:pt>
                <c:pt idx="3">
                  <c:v>6.1202692988428863E-2</c:v>
                </c:pt>
                <c:pt idx="4">
                  <c:v>0.23229897626675311</c:v>
                </c:pt>
                <c:pt idx="5">
                  <c:v>2.0688473472005819E-2</c:v>
                </c:pt>
                <c:pt idx="6">
                  <c:v>0.4701240039544588</c:v>
                </c:pt>
                <c:pt idx="7">
                  <c:v>3.3655361623666009E-2</c:v>
                </c:pt>
                <c:pt idx="8">
                  <c:v>3.1920914820777996E-2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679954582479697"/>
          <c:y val="0.1886606874024872"/>
          <c:w val="0.28815343223162937"/>
          <c:h val="0.74360525907610331"/>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legend>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Dashboard.xlsx]Sheet2!PivotTable15</c:name>
    <c:fmtId val="7"/>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by Regions</a:t>
            </a:r>
          </a:p>
        </c:rich>
      </c:tx>
      <c:layout>
        <c:manualLayout>
          <c:xMode val="edge"/>
          <c:yMode val="edge"/>
          <c:x val="0.70635918713753587"/>
          <c:y val="5.549132947976878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manualLayout>
          <c:layoutTarget val="inner"/>
          <c:xMode val="edge"/>
          <c:yMode val="edge"/>
          <c:x val="7.7351124522608325E-2"/>
          <c:y val="7.3872650311774618E-2"/>
          <c:w val="0.61143722004809276"/>
          <c:h val="0.92612734968822541"/>
        </c:manualLayout>
      </c:layout>
      <c:pieChart>
        <c:varyColors val="1"/>
        <c:ser>
          <c:idx val="0"/>
          <c:order val="0"/>
          <c:tx>
            <c:strRef>
              <c:f>Sheet2!$K$1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Sheet2!$J$2:$J$8</c:f>
              <c:strCache>
                <c:ptCount val="6"/>
                <c:pt idx="0">
                  <c:v>Central </c:v>
                </c:pt>
                <c:pt idx="1">
                  <c:v>East </c:v>
                </c:pt>
                <c:pt idx="2">
                  <c:v>North </c:v>
                </c:pt>
                <c:pt idx="3">
                  <c:v>North East </c:v>
                </c:pt>
                <c:pt idx="4">
                  <c:v>South </c:v>
                </c:pt>
                <c:pt idx="5">
                  <c:v>West </c:v>
                </c:pt>
              </c:strCache>
            </c:strRef>
          </c:cat>
          <c:val>
            <c:numRef>
              <c:f>Sheet2!$K$2:$K$8</c:f>
              <c:numCache>
                <c:formatCode>0%</c:formatCode>
                <c:ptCount val="6"/>
                <c:pt idx="0">
                  <c:v>3.5563652748963302E-2</c:v>
                </c:pt>
                <c:pt idx="1">
                  <c:v>0.11645921077674942</c:v>
                </c:pt>
                <c:pt idx="2">
                  <c:v>0.18006425246192034</c:v>
                </c:pt>
                <c:pt idx="3">
                  <c:v>6.0057218760599884E-2</c:v>
                </c:pt>
                <c:pt idx="4">
                  <c:v>0.42498992152527409</c:v>
                </c:pt>
                <c:pt idx="5">
                  <c:v>0.18286574372649292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530114574001608"/>
          <c:y val="0.24298102043602932"/>
          <c:w val="0.20032759677495404"/>
          <c:h val="0.67167957762505115"/>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legend>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Dashboard.xlsx]Sheet2!PivotTable16</c:name>
    <c:fmtId val="7"/>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by Banks</a:t>
            </a:r>
          </a:p>
        </c:rich>
      </c:tx>
      <c:layout>
        <c:manualLayout>
          <c:xMode val="edge"/>
          <c:yMode val="edge"/>
          <c:x val="0.71182584269662919"/>
          <c:y val="6.011560693641618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s>
    <c:plotArea>
      <c:layout/>
      <c:pieChart>
        <c:varyColors val="1"/>
        <c:ser>
          <c:idx val="0"/>
          <c:order val="0"/>
          <c:tx>
            <c:strRef>
              <c:f>Sheet2!$Q$1</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Sheet2!$P$2:$P$7</c:f>
              <c:strCache>
                <c:ptCount val="5"/>
                <c:pt idx="0">
                  <c:v>BANDHAN</c:v>
                </c:pt>
                <c:pt idx="1">
                  <c:v>HDFC </c:v>
                </c:pt>
                <c:pt idx="2">
                  <c:v>ICICI</c:v>
                </c:pt>
                <c:pt idx="3">
                  <c:v>IDFC FIRST</c:v>
                </c:pt>
                <c:pt idx="4">
                  <c:v>RBL</c:v>
                </c:pt>
              </c:strCache>
            </c:strRef>
          </c:cat>
          <c:val>
            <c:numRef>
              <c:f>Sheet2!$Q$2:$Q$7</c:f>
              <c:numCache>
                <c:formatCode>0.00%</c:formatCode>
                <c:ptCount val="5"/>
                <c:pt idx="0">
                  <c:v>0.32528695107141459</c:v>
                </c:pt>
                <c:pt idx="1">
                  <c:v>0.18724487797234302</c:v>
                </c:pt>
                <c:pt idx="2">
                  <c:v>0.18491009519332471</c:v>
                </c:pt>
                <c:pt idx="3">
                  <c:v>8.1934161214922765E-2</c:v>
                </c:pt>
                <c:pt idx="4">
                  <c:v>0.22062391454799493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046027603291152"/>
          <c:y val="0.24237258203996176"/>
          <c:w val="0.26268579138281872"/>
          <c:h val="0.63590223476400709"/>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legend>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Dashboard.xlsx]Sheet2!PivotTable5</c:name>
    <c:fmtId val="4"/>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by Banks</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Sheet2!$T$1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Sheet2!$S$2:$S$8</c:f>
              <c:strCache>
                <c:ptCount val="6"/>
                <c:pt idx="0">
                  <c:v>AXIS </c:v>
                </c:pt>
                <c:pt idx="1">
                  <c:v>BANDHAN</c:v>
                </c:pt>
                <c:pt idx="2">
                  <c:v>HDFC </c:v>
                </c:pt>
                <c:pt idx="3">
                  <c:v>ICICI</c:v>
                </c:pt>
                <c:pt idx="4">
                  <c:v>IDFC FIRST</c:v>
                </c:pt>
                <c:pt idx="5">
                  <c:v>RBL</c:v>
                </c:pt>
              </c:strCache>
            </c:strRef>
          </c:cat>
          <c:val>
            <c:numRef>
              <c:f>Sheet2!$T$2:$T$8</c:f>
              <c:numCache>
                <c:formatCode>_ * #,##0_ ;_ * \-#,##0_ ;_ * "-"??_ ;_ @_ </c:formatCode>
                <c:ptCount val="6"/>
                <c:pt idx="0">
                  <c:v>8239</c:v>
                </c:pt>
                <c:pt idx="1">
                  <c:v>371227</c:v>
                </c:pt>
                <c:pt idx="2">
                  <c:v>635143</c:v>
                </c:pt>
                <c:pt idx="3">
                  <c:v>448517</c:v>
                </c:pt>
                <c:pt idx="4">
                  <c:v>211043</c:v>
                </c:pt>
                <c:pt idx="5">
                  <c:v>327622</c:v>
                </c:pt>
              </c:numCache>
            </c:numRef>
          </c:val>
        </c:ser>
        <c:dLbls>
          <c:dLblPos val="outEnd"/>
          <c:showLegendKey val="0"/>
          <c:showVal val="1"/>
          <c:showCatName val="0"/>
          <c:showSerName val="0"/>
          <c:showPercent val="0"/>
          <c:showBubbleSize val="0"/>
        </c:dLbls>
        <c:gapWidth val="219"/>
        <c:overlap val="-27"/>
        <c:axId val="-1454148416"/>
        <c:axId val="-1450991536"/>
      </c:barChart>
      <c:catAx>
        <c:axId val="-145414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crossAx val="-1450991536"/>
        <c:crosses val="autoZero"/>
        <c:auto val="1"/>
        <c:lblAlgn val="ctr"/>
        <c:lblOffset val="100"/>
        <c:noMultiLvlLbl val="0"/>
      </c:catAx>
      <c:valAx>
        <c:axId val="-1450991536"/>
        <c:scaling>
          <c:orientation val="minMax"/>
        </c:scaling>
        <c:delete val="1"/>
        <c:axPos val="l"/>
        <c:numFmt formatCode="_ * #,##0_ ;_ * \-#,##0_ ;_ * &quot;-&quot;??_ ;_ @_ " sourceLinked="1"/>
        <c:majorTickMark val="none"/>
        <c:minorTickMark val="none"/>
        <c:tickLblPos val="nextTo"/>
        <c:crossAx val="-1454148416"/>
        <c:crosses val="autoZero"/>
        <c:crossBetween val="between"/>
      </c:valAx>
      <c:spPr>
        <a:noFill/>
        <a:ln>
          <a:noFill/>
        </a:ln>
        <a:effectLst/>
      </c:spPr>
    </c:plotArea>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Dashboard.xlsx]Sheet2!PivotTable4</c:name>
    <c:fmtId val="4"/>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by Regions</a:t>
            </a:r>
          </a:p>
        </c:rich>
      </c:tx>
      <c:layout>
        <c:manualLayout>
          <c:xMode val="edge"/>
          <c:yMode val="edge"/>
          <c:x val="0.44713873949487026"/>
          <c:y val="0"/>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Sheet2!$N$1</c:f>
              <c:strCache>
                <c:ptCount val="1"/>
                <c:pt idx="0">
                  <c:v>Total</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Sheet2!$M$2:$M$8</c:f>
              <c:strCache>
                <c:ptCount val="6"/>
                <c:pt idx="0">
                  <c:v>Central </c:v>
                </c:pt>
                <c:pt idx="1">
                  <c:v>East </c:v>
                </c:pt>
                <c:pt idx="2">
                  <c:v>North </c:v>
                </c:pt>
                <c:pt idx="3">
                  <c:v>North East </c:v>
                </c:pt>
                <c:pt idx="4">
                  <c:v>South </c:v>
                </c:pt>
                <c:pt idx="5">
                  <c:v>West </c:v>
                </c:pt>
              </c:strCache>
            </c:strRef>
          </c:cat>
          <c:val>
            <c:numRef>
              <c:f>Sheet2!$N$2:$N$8</c:f>
              <c:numCache>
                <c:formatCode>_ * #,##0_ ;_ * \-#,##0_ ;_ * "-"??_ ;_ @_ </c:formatCode>
                <c:ptCount val="6"/>
                <c:pt idx="0">
                  <c:v>71191</c:v>
                </c:pt>
                <c:pt idx="1">
                  <c:v>233127</c:v>
                </c:pt>
                <c:pt idx="2">
                  <c:v>360451</c:v>
                </c:pt>
                <c:pt idx="3">
                  <c:v>120222</c:v>
                </c:pt>
                <c:pt idx="4">
                  <c:v>850741</c:v>
                </c:pt>
                <c:pt idx="5">
                  <c:v>366059</c:v>
                </c:pt>
              </c:numCache>
            </c:numRef>
          </c:val>
        </c:ser>
        <c:dLbls>
          <c:dLblPos val="outEnd"/>
          <c:showLegendKey val="0"/>
          <c:showVal val="1"/>
          <c:showCatName val="0"/>
          <c:showSerName val="0"/>
          <c:showPercent val="0"/>
          <c:showBubbleSize val="0"/>
        </c:dLbls>
        <c:gapWidth val="182"/>
        <c:axId val="-1450994256"/>
        <c:axId val="-1450988816"/>
      </c:barChart>
      <c:catAx>
        <c:axId val="-145099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crossAx val="-1450988816"/>
        <c:crosses val="autoZero"/>
        <c:auto val="1"/>
        <c:lblAlgn val="ctr"/>
        <c:lblOffset val="100"/>
        <c:noMultiLvlLbl val="0"/>
      </c:catAx>
      <c:valAx>
        <c:axId val="-1450988816"/>
        <c:scaling>
          <c:orientation val="minMax"/>
        </c:scaling>
        <c:delete val="1"/>
        <c:axPos val="b"/>
        <c:numFmt formatCode="_ * #,##0_ ;_ * \-#,##0_ ;_ * &quot;-&quot;??_ ;_ @_ " sourceLinked="1"/>
        <c:majorTickMark val="none"/>
        <c:minorTickMark val="none"/>
        <c:tickLblPos val="nextTo"/>
        <c:crossAx val="-1450994256"/>
        <c:crosses val="autoZero"/>
        <c:crossBetween val="between"/>
      </c:valAx>
      <c:spPr>
        <a:noFill/>
        <a:ln>
          <a:noFill/>
        </a:ln>
        <a:effectLst/>
      </c:spPr>
    </c:plotArea>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Dashboard.xlsx]Sheet2!PivotTable3</c:name>
    <c:fmtId val="4"/>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by Sales Men</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Sheet2!$E$1</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Sheet2!$D$2:$D$11</c:f>
              <c:strCache>
                <c:ptCount val="9"/>
                <c:pt idx="0">
                  <c:v>Alok</c:v>
                </c:pt>
                <c:pt idx="1">
                  <c:v>Amit</c:v>
                </c:pt>
                <c:pt idx="2">
                  <c:v>Ankit</c:v>
                </c:pt>
                <c:pt idx="3">
                  <c:v>Dev</c:v>
                </c:pt>
                <c:pt idx="4">
                  <c:v>Mohan</c:v>
                </c:pt>
                <c:pt idx="5">
                  <c:v>Rohan</c:v>
                </c:pt>
                <c:pt idx="6">
                  <c:v>Santosh</c:v>
                </c:pt>
                <c:pt idx="7">
                  <c:v>Sunil</c:v>
                </c:pt>
                <c:pt idx="8">
                  <c:v>Vikas</c:v>
                </c:pt>
              </c:strCache>
            </c:strRef>
          </c:cat>
          <c:val>
            <c:numRef>
              <c:f>Sheet2!$E$2:$E$11</c:f>
              <c:numCache>
                <c:formatCode>_ * #,##0_ ;_ * \-#,##0_ ;_ * "-"??_ ;_ @_ </c:formatCode>
                <c:ptCount val="9"/>
                <c:pt idx="0">
                  <c:v>108113</c:v>
                </c:pt>
                <c:pt idx="1">
                  <c:v>23918</c:v>
                </c:pt>
                <c:pt idx="2">
                  <c:v>168457</c:v>
                </c:pt>
                <c:pt idx="3">
                  <c:v>122515</c:v>
                </c:pt>
                <c:pt idx="4">
                  <c:v>465014</c:v>
                </c:pt>
                <c:pt idx="5">
                  <c:v>41414</c:v>
                </c:pt>
                <c:pt idx="6">
                  <c:v>941090</c:v>
                </c:pt>
                <c:pt idx="7">
                  <c:v>67371</c:v>
                </c:pt>
                <c:pt idx="8">
                  <c:v>63899</c:v>
                </c:pt>
              </c:numCache>
            </c:numRef>
          </c:val>
        </c:ser>
        <c:dLbls>
          <c:dLblPos val="outEnd"/>
          <c:showLegendKey val="0"/>
          <c:showVal val="1"/>
          <c:showCatName val="0"/>
          <c:showSerName val="0"/>
          <c:showPercent val="0"/>
          <c:showBubbleSize val="0"/>
        </c:dLbls>
        <c:gapWidth val="182"/>
        <c:axId val="-1450994800"/>
        <c:axId val="-1450990448"/>
      </c:barChart>
      <c:catAx>
        <c:axId val="-145099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crossAx val="-1450990448"/>
        <c:crosses val="autoZero"/>
        <c:auto val="1"/>
        <c:lblAlgn val="ctr"/>
        <c:lblOffset val="100"/>
        <c:noMultiLvlLbl val="0"/>
      </c:catAx>
      <c:valAx>
        <c:axId val="-1450990448"/>
        <c:scaling>
          <c:orientation val="minMax"/>
        </c:scaling>
        <c:delete val="1"/>
        <c:axPos val="b"/>
        <c:numFmt formatCode="_ * #,##0_ ;_ * \-#,##0_ ;_ * &quot;-&quot;??_ ;_ @_ " sourceLinked="1"/>
        <c:majorTickMark val="none"/>
        <c:minorTickMark val="none"/>
        <c:tickLblPos val="nextTo"/>
        <c:crossAx val="-1450994800"/>
        <c:crosses val="autoZero"/>
        <c:crossBetween val="between"/>
      </c:valAx>
      <c:spPr>
        <a:noFill/>
        <a:ln>
          <a:noFill/>
        </a:ln>
        <a:effectLst/>
      </c:spPr>
    </c:plotArea>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Dashboard.xlsx]Sheet2!PivotTable6</c:name>
    <c:fmtId val="14"/>
  </c:pivotSource>
  <c:chart>
    <c:title>
      <c:tx>
        <c:rich>
          <a:bodyPr rot="0" spcFirstLastPara="1" vertOverflow="ellipsis" vert="horz" wrap="square" anchor="ctr" anchorCtr="1"/>
          <a:lstStyle/>
          <a:p>
            <a:pPr algn="ctr" rtl="0">
              <a:defRPr lang="en-IN" sz="1680" b="1" i="0" u="none" strike="noStrike" kern="1200" spc="0" baseline="0">
                <a:solidFill>
                  <a:schemeClr val="bg1"/>
                </a:solidFill>
                <a:latin typeface="+mn-lt"/>
                <a:ea typeface="+mn-ea"/>
                <a:cs typeface="+mn-cs"/>
              </a:defRPr>
            </a:pPr>
            <a:r>
              <a:rPr lang="en-US"/>
              <a:t>Tota by Satesl</a:t>
            </a:r>
          </a:p>
        </c:rich>
      </c:tx>
      <c:layout/>
      <c:overlay val="0"/>
      <c:spPr>
        <a:noFill/>
        <a:ln>
          <a:noFill/>
        </a:ln>
        <a:effectLst/>
      </c:spPr>
      <c:txPr>
        <a:bodyPr rot="0" spcFirstLastPara="1" vertOverflow="ellipsis" vert="horz" wrap="square" anchor="ctr" anchorCtr="1"/>
        <a:lstStyle/>
        <a:p>
          <a:pPr algn="ctr" rtl="0">
            <a:defRPr lang="en-IN" sz="168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layout/>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1756769284179677E-2"/>
          <c:y val="0.12384000000000001"/>
          <c:w val="0.98821165438713998"/>
          <c:h val="0.72439649043869514"/>
        </c:manualLayout>
      </c:layout>
      <c:barChart>
        <c:barDir val="col"/>
        <c:grouping val="clustered"/>
        <c:varyColors val="0"/>
        <c:ser>
          <c:idx val="0"/>
          <c:order val="0"/>
          <c:tx>
            <c:strRef>
              <c:f>Sheet2!$Z$1</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Sheet2!$Y$2:$Y$31</c:f>
              <c:strCache>
                <c:ptCount val="29"/>
                <c:pt idx="0">
                  <c:v>AP-N</c:v>
                </c:pt>
                <c:pt idx="1">
                  <c:v>AR</c:v>
                </c:pt>
                <c:pt idx="2">
                  <c:v>AS</c:v>
                </c:pt>
                <c:pt idx="3">
                  <c:v>BR</c:v>
                </c:pt>
                <c:pt idx="4">
                  <c:v>CG</c:v>
                </c:pt>
                <c:pt idx="5">
                  <c:v>CH</c:v>
                </c:pt>
                <c:pt idx="6">
                  <c:v>DL</c:v>
                </c:pt>
                <c:pt idx="7">
                  <c:v>GA</c:v>
                </c:pt>
                <c:pt idx="8">
                  <c:v>GJ</c:v>
                </c:pt>
                <c:pt idx="9">
                  <c:v>HR</c:v>
                </c:pt>
                <c:pt idx="10">
                  <c:v>JH</c:v>
                </c:pt>
                <c:pt idx="11">
                  <c:v>JK</c:v>
                </c:pt>
                <c:pt idx="12">
                  <c:v>KA</c:v>
                </c:pt>
                <c:pt idx="13">
                  <c:v>KL</c:v>
                </c:pt>
                <c:pt idx="14">
                  <c:v>MH</c:v>
                </c:pt>
                <c:pt idx="15">
                  <c:v>ML</c:v>
                </c:pt>
                <c:pt idx="16">
                  <c:v>MP</c:v>
                </c:pt>
                <c:pt idx="17">
                  <c:v>MZ</c:v>
                </c:pt>
                <c:pt idx="18">
                  <c:v>NL</c:v>
                </c:pt>
                <c:pt idx="19">
                  <c:v>OD</c:v>
                </c:pt>
                <c:pt idx="20">
                  <c:v>PB</c:v>
                </c:pt>
                <c:pt idx="21">
                  <c:v>PY</c:v>
                </c:pt>
                <c:pt idx="22">
                  <c:v>RJ</c:v>
                </c:pt>
                <c:pt idx="23">
                  <c:v>TN</c:v>
                </c:pt>
                <c:pt idx="24">
                  <c:v>TR</c:v>
                </c:pt>
                <c:pt idx="25">
                  <c:v>TS</c:v>
                </c:pt>
                <c:pt idx="26">
                  <c:v>UK</c:v>
                </c:pt>
                <c:pt idx="27">
                  <c:v>UP</c:v>
                </c:pt>
                <c:pt idx="28">
                  <c:v>WB</c:v>
                </c:pt>
              </c:strCache>
            </c:strRef>
          </c:cat>
          <c:val>
            <c:numRef>
              <c:f>Sheet2!$Z$2:$Z$31</c:f>
              <c:numCache>
                <c:formatCode>_ * #,##0_ ;_ * \-#,##0_ ;_ * "-"??_ ;_ @_ </c:formatCode>
                <c:ptCount val="29"/>
                <c:pt idx="0">
                  <c:v>67837</c:v>
                </c:pt>
                <c:pt idx="1">
                  <c:v>26673</c:v>
                </c:pt>
                <c:pt idx="2">
                  <c:v>49369</c:v>
                </c:pt>
                <c:pt idx="3">
                  <c:v>17019</c:v>
                </c:pt>
                <c:pt idx="4">
                  <c:v>4120</c:v>
                </c:pt>
                <c:pt idx="5">
                  <c:v>18232</c:v>
                </c:pt>
                <c:pt idx="6">
                  <c:v>48524</c:v>
                </c:pt>
                <c:pt idx="7">
                  <c:v>21406</c:v>
                </c:pt>
                <c:pt idx="8">
                  <c:v>122298</c:v>
                </c:pt>
                <c:pt idx="9">
                  <c:v>72690</c:v>
                </c:pt>
                <c:pt idx="10">
                  <c:v>13018</c:v>
                </c:pt>
                <c:pt idx="11">
                  <c:v>3861</c:v>
                </c:pt>
                <c:pt idx="12">
                  <c:v>262475</c:v>
                </c:pt>
                <c:pt idx="13">
                  <c:v>102549</c:v>
                </c:pt>
                <c:pt idx="14">
                  <c:v>222355</c:v>
                </c:pt>
                <c:pt idx="15">
                  <c:v>9854</c:v>
                </c:pt>
                <c:pt idx="16">
                  <c:v>67071</c:v>
                </c:pt>
                <c:pt idx="17">
                  <c:v>15796</c:v>
                </c:pt>
                <c:pt idx="18">
                  <c:v>16614</c:v>
                </c:pt>
                <c:pt idx="19">
                  <c:v>67313</c:v>
                </c:pt>
                <c:pt idx="20">
                  <c:v>11751</c:v>
                </c:pt>
                <c:pt idx="21">
                  <c:v>31048</c:v>
                </c:pt>
                <c:pt idx="22">
                  <c:v>162323</c:v>
                </c:pt>
                <c:pt idx="23">
                  <c:v>338921</c:v>
                </c:pt>
                <c:pt idx="24">
                  <c:v>1916</c:v>
                </c:pt>
                <c:pt idx="25">
                  <c:v>47911</c:v>
                </c:pt>
                <c:pt idx="26">
                  <c:v>36401</c:v>
                </c:pt>
                <c:pt idx="27">
                  <c:v>6669</c:v>
                </c:pt>
                <c:pt idx="28">
                  <c:v>135777</c:v>
                </c:pt>
              </c:numCache>
            </c:numRef>
          </c:val>
        </c:ser>
        <c:dLbls>
          <c:dLblPos val="outEnd"/>
          <c:showLegendKey val="0"/>
          <c:showVal val="1"/>
          <c:showCatName val="0"/>
          <c:showSerName val="0"/>
          <c:showPercent val="0"/>
          <c:showBubbleSize val="0"/>
        </c:dLbls>
        <c:gapWidth val="182"/>
        <c:axId val="-1450990992"/>
        <c:axId val="-1450998064"/>
      </c:barChart>
      <c:catAx>
        <c:axId val="-145099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IN" sz="1400" b="1" i="0" u="none" strike="noStrike" kern="1200" spc="0" baseline="0">
                <a:solidFill>
                  <a:schemeClr val="bg1"/>
                </a:solidFill>
                <a:latin typeface="+mn-lt"/>
                <a:ea typeface="+mn-ea"/>
                <a:cs typeface="+mn-cs"/>
              </a:defRPr>
            </a:pPr>
            <a:endParaRPr lang="en-US"/>
          </a:p>
        </c:txPr>
        <c:crossAx val="-1450998064"/>
        <c:crosses val="autoZero"/>
        <c:auto val="1"/>
        <c:lblAlgn val="ctr"/>
        <c:lblOffset val="100"/>
        <c:noMultiLvlLbl val="0"/>
      </c:catAx>
      <c:valAx>
        <c:axId val="-1450998064"/>
        <c:scaling>
          <c:orientation val="minMax"/>
        </c:scaling>
        <c:delete val="1"/>
        <c:axPos val="l"/>
        <c:numFmt formatCode="_ * #,##0_ ;_ * \-#,##0_ ;_ * &quot;-&quot;??_ ;_ @_ " sourceLinked="1"/>
        <c:majorTickMark val="none"/>
        <c:minorTickMark val="none"/>
        <c:tickLblPos val="nextTo"/>
        <c:crossAx val="-1450990992"/>
        <c:crosses val="autoZero"/>
        <c:crossBetween val="between"/>
      </c:valAx>
      <c:spPr>
        <a:solidFill>
          <a:srgbClr val="001C64"/>
        </a:solidFill>
        <a:ln>
          <a:noFill/>
        </a:ln>
        <a:effectLst/>
      </c:spPr>
    </c:plotArea>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lgn="ctr" rtl="0">
        <a:defRPr lang="en-IN" sz="1400" b="1" i="0" u="none" strike="noStrike" kern="1200" spc="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Dashboard.xlsx]Sheet2!PivotTable7</c:name>
    <c:fmtId val="2"/>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by Top 10 Cities</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9486504621704902"/>
          <c:y val="5.8367630220719058E-2"/>
          <c:w val="0.39035234508729894"/>
          <c:h val="0.89878292730187248"/>
        </c:manualLayout>
      </c:layout>
      <c:barChart>
        <c:barDir val="bar"/>
        <c:grouping val="clustered"/>
        <c:varyColors val="0"/>
        <c:ser>
          <c:idx val="0"/>
          <c:order val="0"/>
          <c:tx>
            <c:strRef>
              <c:f>Sheet2!$AC$1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Sheet2!$AB$2:$AB$12</c:f>
              <c:strCache>
                <c:ptCount val="10"/>
                <c:pt idx="0">
                  <c:v>Ahmadabad City</c:v>
                </c:pt>
                <c:pt idx="1">
                  <c:v>Bangalore</c:v>
                </c:pt>
                <c:pt idx="2">
                  <c:v>Bangalore North</c:v>
                </c:pt>
                <c:pt idx="3">
                  <c:v>Bhubaneswar</c:v>
                </c:pt>
                <c:pt idx="4">
                  <c:v>Chennai</c:v>
                </c:pt>
                <c:pt idx="5">
                  <c:v>Coimbatore South</c:v>
                </c:pt>
                <c:pt idx="6">
                  <c:v>Jaipur</c:v>
                </c:pt>
                <c:pt idx="7">
                  <c:v>Kolkata</c:v>
                </c:pt>
                <c:pt idx="8">
                  <c:v>Mumbai</c:v>
                </c:pt>
                <c:pt idx="9">
                  <c:v>New Delhi</c:v>
                </c:pt>
              </c:strCache>
            </c:strRef>
          </c:cat>
          <c:val>
            <c:numRef>
              <c:f>Sheet2!$AC$2:$AC$12</c:f>
              <c:numCache>
                <c:formatCode>_ * #,##0_ ;_ * \-#,##0_ ;_ * "-"??_ ;_ @_ </c:formatCode>
                <c:ptCount val="10"/>
                <c:pt idx="0">
                  <c:v>68419</c:v>
                </c:pt>
                <c:pt idx="1">
                  <c:v>45837</c:v>
                </c:pt>
                <c:pt idx="2">
                  <c:v>46914</c:v>
                </c:pt>
                <c:pt idx="3">
                  <c:v>44199</c:v>
                </c:pt>
                <c:pt idx="4">
                  <c:v>62340</c:v>
                </c:pt>
                <c:pt idx="5">
                  <c:v>42585</c:v>
                </c:pt>
                <c:pt idx="6">
                  <c:v>60612</c:v>
                </c:pt>
                <c:pt idx="7">
                  <c:v>52889</c:v>
                </c:pt>
                <c:pt idx="8">
                  <c:v>44723</c:v>
                </c:pt>
                <c:pt idx="9">
                  <c:v>45340</c:v>
                </c:pt>
              </c:numCache>
            </c:numRef>
          </c:val>
        </c:ser>
        <c:dLbls>
          <c:dLblPos val="outEnd"/>
          <c:showLegendKey val="0"/>
          <c:showVal val="1"/>
          <c:showCatName val="0"/>
          <c:showSerName val="0"/>
          <c:showPercent val="0"/>
          <c:showBubbleSize val="0"/>
        </c:dLbls>
        <c:gapWidth val="219"/>
        <c:axId val="-1450995344"/>
        <c:axId val="-1450987184"/>
      </c:barChart>
      <c:catAx>
        <c:axId val="-145099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crossAx val="-1450987184"/>
        <c:crosses val="autoZero"/>
        <c:auto val="1"/>
        <c:lblAlgn val="ctr"/>
        <c:lblOffset val="100"/>
        <c:noMultiLvlLbl val="0"/>
      </c:catAx>
      <c:valAx>
        <c:axId val="-1450987184"/>
        <c:scaling>
          <c:orientation val="minMax"/>
        </c:scaling>
        <c:delete val="1"/>
        <c:axPos val="b"/>
        <c:numFmt formatCode="_ * #,##0_ ;_ * \-#,##0_ ;_ * &quot;-&quot;??_ ;_ @_ " sourceLinked="1"/>
        <c:majorTickMark val="none"/>
        <c:minorTickMark val="none"/>
        <c:tickLblPos val="nextTo"/>
        <c:crossAx val="-1450995344"/>
        <c:crosses val="autoZero"/>
        <c:crossBetween val="between"/>
      </c:valAx>
      <c:spPr>
        <a:noFill/>
        <a:ln>
          <a:noFill/>
        </a:ln>
        <a:effectLst/>
      </c:spPr>
    </c:plotArea>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baseline="0">
                <a:solidFill>
                  <a:schemeClr val="bg1"/>
                </a:solidFill>
              </a:rPr>
              <a:t>Total by Products</a:t>
            </a:r>
          </a:p>
        </c:rich>
      </c:tx>
      <c:layout>
        <c:manualLayout>
          <c:xMode val="edge"/>
          <c:yMode val="edge"/>
          <c:x val="0.46315339635848218"/>
          <c:y val="7.634195787066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Sheet2!$A$2:$A$9</c:f>
              <c:strCache>
                <c:ptCount val="7"/>
                <c:pt idx="0">
                  <c:v>Auto Loan </c:v>
                </c:pt>
                <c:pt idx="1">
                  <c:v>Business Loan </c:v>
                </c:pt>
                <c:pt idx="2">
                  <c:v>Home Loan </c:v>
                </c:pt>
                <c:pt idx="3">
                  <c:v>LAP</c:v>
                </c:pt>
                <c:pt idx="4">
                  <c:v>Personal Loan </c:v>
                </c:pt>
                <c:pt idx="5">
                  <c:v>TW</c:v>
                </c:pt>
                <c:pt idx="6">
                  <c:v>Used Car Loan  </c:v>
                </c:pt>
              </c:strCache>
            </c:strRef>
          </c:cat>
          <c:val>
            <c:numRef>
              <c:f>Sheet2!$B$2:$B$9</c:f>
              <c:numCache>
                <c:formatCode>_ * #,##0_ ;_ * \-#,##0_ ;_ * "-"??_ ;_ @_ </c:formatCode>
                <c:ptCount val="7"/>
                <c:pt idx="0">
                  <c:v>271969</c:v>
                </c:pt>
                <c:pt idx="1">
                  <c:v>110936</c:v>
                </c:pt>
                <c:pt idx="2">
                  <c:v>623004</c:v>
                </c:pt>
                <c:pt idx="3">
                  <c:v>201819</c:v>
                </c:pt>
                <c:pt idx="4">
                  <c:v>278029</c:v>
                </c:pt>
                <c:pt idx="5">
                  <c:v>358409</c:v>
                </c:pt>
                <c:pt idx="6">
                  <c:v>157625</c:v>
                </c:pt>
              </c:numCache>
            </c:numRef>
          </c:val>
        </c:ser>
        <c:dLbls>
          <c:dLblPos val="outEnd"/>
          <c:showLegendKey val="0"/>
          <c:showVal val="1"/>
          <c:showCatName val="0"/>
          <c:showSerName val="0"/>
          <c:showPercent val="0"/>
          <c:showBubbleSize val="0"/>
        </c:dLbls>
        <c:gapWidth val="219"/>
        <c:overlap val="-27"/>
        <c:axId val="-1450989360"/>
        <c:axId val="-1450993712"/>
      </c:barChart>
      <c:catAx>
        <c:axId val="-1450989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crossAx val="-1450993712"/>
        <c:crosses val="autoZero"/>
        <c:auto val="1"/>
        <c:lblAlgn val="ctr"/>
        <c:lblOffset val="100"/>
        <c:noMultiLvlLbl val="0"/>
      </c:catAx>
      <c:valAx>
        <c:axId val="-1450993712"/>
        <c:scaling>
          <c:orientation val="minMax"/>
        </c:scaling>
        <c:delete val="1"/>
        <c:axPos val="l"/>
        <c:numFmt formatCode="_ * #,##0_ ;_ * \-#,##0_ ;_ * &quot;-&quot;??_ ;_ @_ " sourceLinked="1"/>
        <c:majorTickMark val="out"/>
        <c:minorTickMark val="none"/>
        <c:tickLblPos val="nextTo"/>
        <c:crossAx val="-1450989360"/>
        <c:crosses val="autoZero"/>
        <c:crossBetween val="between"/>
      </c:valAx>
      <c:spPr>
        <a:noFill/>
        <a:ln>
          <a:noFill/>
        </a:ln>
        <a:effectLst/>
      </c:spPr>
    </c:plotArea>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Dashboard.xlsx]Sheet2!PivotTable17</c:name>
    <c:fmtId val="3"/>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by Sales Men</a:t>
            </a:r>
          </a:p>
        </c:rich>
      </c:tx>
      <c:layout>
        <c:manualLayout>
          <c:xMode val="edge"/>
          <c:yMode val="edge"/>
          <c:x val="0.67770523041986519"/>
          <c:y val="5.0984936268829661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2">
              <a:lumMod val="50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rgbClr val="FF9999"/>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rgbClr val="0066FF"/>
          </a:solidFill>
          <a:ln w="19050">
            <a:solidFill>
              <a:schemeClr val="lt1"/>
            </a:solidFill>
          </a:ln>
          <a:effectLst/>
        </c:spPr>
      </c:pivotFmt>
      <c:pivotFmt>
        <c:idx val="19"/>
        <c:spPr>
          <a:solidFill>
            <a:schemeClr val="accent4">
              <a:lumMod val="50000"/>
            </a:schemeClr>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9.1405919087700238E-2"/>
          <c:y val="0.10340854597342704"/>
          <c:w val="0.51696433255007879"/>
          <c:h val="0.80883606692352794"/>
        </c:manualLayout>
      </c:layout>
      <c:pieChart>
        <c:varyColors val="1"/>
        <c:ser>
          <c:idx val="0"/>
          <c:order val="0"/>
          <c:tx>
            <c:strRef>
              <c:f>Sheet2!$H$1</c:f>
              <c:strCache>
                <c:ptCount val="1"/>
                <c:pt idx="0">
                  <c:v>Total</c:v>
                </c:pt>
              </c:strCache>
            </c:strRef>
          </c:tx>
          <c:dPt>
            <c:idx val="0"/>
            <c:bubble3D val="0"/>
            <c:spPr>
              <a:solidFill>
                <a:schemeClr val="accent2">
                  <a:lumMod val="50000"/>
                </a:schemeClr>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rgbClr val="FF9999"/>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rgbClr val="0066FF"/>
              </a:solidFill>
              <a:ln w="19050">
                <a:solidFill>
                  <a:schemeClr val="lt1"/>
                </a:solidFill>
              </a:ln>
              <a:effectLst/>
            </c:spPr>
          </c:dPt>
          <c:dPt>
            <c:idx val="7"/>
            <c:bubble3D val="0"/>
            <c:spPr>
              <a:solidFill>
                <a:schemeClr val="accent4">
                  <a:lumMod val="5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Sheet2!$G$2:$G$11</c:f>
              <c:strCache>
                <c:ptCount val="9"/>
                <c:pt idx="0">
                  <c:v>Alok</c:v>
                </c:pt>
                <c:pt idx="1">
                  <c:v>Amit</c:v>
                </c:pt>
                <c:pt idx="2">
                  <c:v>Ankit</c:v>
                </c:pt>
                <c:pt idx="3">
                  <c:v>Dev</c:v>
                </c:pt>
                <c:pt idx="4">
                  <c:v>Mohan</c:v>
                </c:pt>
                <c:pt idx="5">
                  <c:v>Rohan</c:v>
                </c:pt>
                <c:pt idx="6">
                  <c:v>Santosh</c:v>
                </c:pt>
                <c:pt idx="7">
                  <c:v>Sunil</c:v>
                </c:pt>
                <c:pt idx="8">
                  <c:v>Vikas</c:v>
                </c:pt>
              </c:strCache>
            </c:strRef>
          </c:cat>
          <c:val>
            <c:numRef>
              <c:f>Sheet2!$H$2:$H$11</c:f>
              <c:numCache>
                <c:formatCode>0%</c:formatCode>
                <c:ptCount val="9"/>
                <c:pt idx="0">
                  <c:v>5.4008135714467692E-2</c:v>
                </c:pt>
                <c:pt idx="1">
                  <c:v>1.1948300297083962E-2</c:v>
                </c:pt>
                <c:pt idx="2">
                  <c:v>8.4153140862357756E-2</c:v>
                </c:pt>
                <c:pt idx="3">
                  <c:v>6.1202692988428863E-2</c:v>
                </c:pt>
                <c:pt idx="4">
                  <c:v>0.23229897626675311</c:v>
                </c:pt>
                <c:pt idx="5">
                  <c:v>2.0688473472005819E-2</c:v>
                </c:pt>
                <c:pt idx="6">
                  <c:v>0.4701240039544588</c:v>
                </c:pt>
                <c:pt idx="7">
                  <c:v>3.3655361623666009E-2</c:v>
                </c:pt>
                <c:pt idx="8">
                  <c:v>3.1920914820777996E-2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679954582479697"/>
          <c:y val="0.1886606874024872"/>
          <c:w val="0.28815343223162937"/>
          <c:h val="0.74360525907610331"/>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legend>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Dashboard.xlsx]Sheet2!PivotTable15</c:name>
    <c:fmtId val="3"/>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by Regions</a:t>
            </a:r>
          </a:p>
        </c:rich>
      </c:tx>
      <c:layout>
        <c:manualLayout>
          <c:xMode val="edge"/>
          <c:yMode val="edge"/>
          <c:x val="0.70635918713753587"/>
          <c:y val="5.5491329479768786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C00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F10FD1"/>
          </a:solidFill>
          <a:ln w="19050">
            <a:solidFill>
              <a:schemeClr val="lt1"/>
            </a:solidFill>
          </a:ln>
          <a:effectLst/>
        </c:spPr>
      </c:pivotFmt>
      <c:pivotFmt>
        <c:idx val="13"/>
        <c:spPr>
          <a:solidFill>
            <a:srgbClr val="00B0F0"/>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7.7351124522608325E-2"/>
          <c:y val="7.3872650311774618E-2"/>
          <c:w val="0.57925332609285918"/>
          <c:h val="0.82954797317002049"/>
        </c:manualLayout>
      </c:layout>
      <c:pieChart>
        <c:varyColors val="1"/>
        <c:ser>
          <c:idx val="0"/>
          <c:order val="0"/>
          <c:tx>
            <c:strRef>
              <c:f>Sheet2!$K$1</c:f>
              <c:strCache>
                <c:ptCount val="1"/>
                <c:pt idx="0">
                  <c:v>Total</c:v>
                </c:pt>
              </c:strCache>
            </c:strRef>
          </c:tx>
          <c:dPt>
            <c:idx val="0"/>
            <c:bubble3D val="0"/>
            <c:spPr>
              <a:solidFill>
                <a:srgbClr val="FFC000"/>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rgbClr val="F10FD1"/>
              </a:solidFill>
              <a:ln w="19050">
                <a:solidFill>
                  <a:schemeClr val="lt1"/>
                </a:solidFill>
              </a:ln>
              <a:effectLst/>
            </c:spPr>
          </c:dPt>
          <c:dPt>
            <c:idx val="4"/>
            <c:bubble3D val="0"/>
            <c:spPr>
              <a:solidFill>
                <a:srgbClr val="00B0F0"/>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Sheet2!$J$2:$J$8</c:f>
              <c:strCache>
                <c:ptCount val="6"/>
                <c:pt idx="0">
                  <c:v>Central </c:v>
                </c:pt>
                <c:pt idx="1">
                  <c:v>East </c:v>
                </c:pt>
                <c:pt idx="2">
                  <c:v>North </c:v>
                </c:pt>
                <c:pt idx="3">
                  <c:v>North East </c:v>
                </c:pt>
                <c:pt idx="4">
                  <c:v>South </c:v>
                </c:pt>
                <c:pt idx="5">
                  <c:v>West </c:v>
                </c:pt>
              </c:strCache>
            </c:strRef>
          </c:cat>
          <c:val>
            <c:numRef>
              <c:f>Sheet2!$K$2:$K$8</c:f>
              <c:numCache>
                <c:formatCode>0%</c:formatCode>
                <c:ptCount val="6"/>
                <c:pt idx="0">
                  <c:v>3.5563652748963302E-2</c:v>
                </c:pt>
                <c:pt idx="1">
                  <c:v>0.11645921077674942</c:v>
                </c:pt>
                <c:pt idx="2">
                  <c:v>0.18006425246192034</c:v>
                </c:pt>
                <c:pt idx="3">
                  <c:v>6.0057218760599884E-2</c:v>
                </c:pt>
                <c:pt idx="4">
                  <c:v>0.42498992152527409</c:v>
                </c:pt>
                <c:pt idx="5">
                  <c:v>0.18286574372649292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530114574001608"/>
          <c:y val="0.24298102043602932"/>
          <c:w val="0.20032759677495404"/>
          <c:h val="0.67167957762505115"/>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legend>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Dashboard.xlsx]Sheet2!PivotTable5</c:name>
    <c:fmtId val="2"/>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by Banks</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Sheet2!$T$1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Sheet2!$S$2:$S$8</c:f>
              <c:strCache>
                <c:ptCount val="6"/>
                <c:pt idx="0">
                  <c:v>AXIS </c:v>
                </c:pt>
                <c:pt idx="1">
                  <c:v>BANDHAN</c:v>
                </c:pt>
                <c:pt idx="2">
                  <c:v>HDFC </c:v>
                </c:pt>
                <c:pt idx="3">
                  <c:v>ICICI</c:v>
                </c:pt>
                <c:pt idx="4">
                  <c:v>IDFC FIRST</c:v>
                </c:pt>
                <c:pt idx="5">
                  <c:v>RBL</c:v>
                </c:pt>
              </c:strCache>
            </c:strRef>
          </c:cat>
          <c:val>
            <c:numRef>
              <c:f>Sheet2!$T$2:$T$8</c:f>
              <c:numCache>
                <c:formatCode>_ * #,##0_ ;_ * \-#,##0_ ;_ * "-"??_ ;_ @_ </c:formatCode>
                <c:ptCount val="6"/>
                <c:pt idx="0">
                  <c:v>8239</c:v>
                </c:pt>
                <c:pt idx="1">
                  <c:v>371227</c:v>
                </c:pt>
                <c:pt idx="2">
                  <c:v>635143</c:v>
                </c:pt>
                <c:pt idx="3">
                  <c:v>448517</c:v>
                </c:pt>
                <c:pt idx="4">
                  <c:v>211043</c:v>
                </c:pt>
                <c:pt idx="5">
                  <c:v>327622</c:v>
                </c:pt>
              </c:numCache>
            </c:numRef>
          </c:val>
        </c:ser>
        <c:dLbls>
          <c:dLblPos val="outEnd"/>
          <c:showLegendKey val="0"/>
          <c:showVal val="1"/>
          <c:showCatName val="0"/>
          <c:showSerName val="0"/>
          <c:showPercent val="0"/>
          <c:showBubbleSize val="0"/>
        </c:dLbls>
        <c:gapWidth val="219"/>
        <c:overlap val="-27"/>
        <c:axId val="-1450992624"/>
        <c:axId val="-1450080992"/>
      </c:barChart>
      <c:catAx>
        <c:axId val="-145099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crossAx val="-1450080992"/>
        <c:crosses val="autoZero"/>
        <c:auto val="1"/>
        <c:lblAlgn val="ctr"/>
        <c:lblOffset val="100"/>
        <c:noMultiLvlLbl val="0"/>
      </c:catAx>
      <c:valAx>
        <c:axId val="-1450080992"/>
        <c:scaling>
          <c:orientation val="minMax"/>
        </c:scaling>
        <c:delete val="1"/>
        <c:axPos val="l"/>
        <c:numFmt formatCode="_ * #,##0_ ;_ * \-#,##0_ ;_ * &quot;-&quot;??_ ;_ @_ " sourceLinked="1"/>
        <c:majorTickMark val="none"/>
        <c:minorTickMark val="none"/>
        <c:tickLblPos val="nextTo"/>
        <c:crossAx val="-1450992624"/>
        <c:crosses val="autoZero"/>
        <c:crossBetween val="between"/>
      </c:valAx>
      <c:spPr>
        <a:noFill/>
        <a:ln>
          <a:noFill/>
        </a:ln>
        <a:effectLst/>
      </c:spPr>
    </c:plotArea>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Dashboard.xlsx]Sheet2!PivotTable4</c:name>
    <c:fmtId val="2"/>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by Regions</a:t>
            </a:r>
          </a:p>
        </c:rich>
      </c:tx>
      <c:layout>
        <c:manualLayout>
          <c:xMode val="edge"/>
          <c:yMode val="edge"/>
          <c:x val="0.44713873949487026"/>
          <c:y val="0"/>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9341824652596976"/>
          <c:y val="0.11678819887341274"/>
          <c:w val="0.69157312782710667"/>
          <c:h val="0.80693212499751055"/>
        </c:manualLayout>
      </c:layout>
      <c:barChart>
        <c:barDir val="bar"/>
        <c:grouping val="clustered"/>
        <c:varyColors val="0"/>
        <c:ser>
          <c:idx val="0"/>
          <c:order val="0"/>
          <c:tx>
            <c:strRef>
              <c:f>Sheet2!$N$1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Sheet2!$M$2:$M$8</c:f>
              <c:strCache>
                <c:ptCount val="6"/>
                <c:pt idx="0">
                  <c:v>Central </c:v>
                </c:pt>
                <c:pt idx="1">
                  <c:v>East </c:v>
                </c:pt>
                <c:pt idx="2">
                  <c:v>North </c:v>
                </c:pt>
                <c:pt idx="3">
                  <c:v>North East </c:v>
                </c:pt>
                <c:pt idx="4">
                  <c:v>South </c:v>
                </c:pt>
                <c:pt idx="5">
                  <c:v>West </c:v>
                </c:pt>
              </c:strCache>
            </c:strRef>
          </c:cat>
          <c:val>
            <c:numRef>
              <c:f>Sheet2!$N$2:$N$8</c:f>
              <c:numCache>
                <c:formatCode>_ * #,##0_ ;_ * \-#,##0_ ;_ * "-"??_ ;_ @_ </c:formatCode>
                <c:ptCount val="6"/>
                <c:pt idx="0">
                  <c:v>71191</c:v>
                </c:pt>
                <c:pt idx="1">
                  <c:v>233127</c:v>
                </c:pt>
                <c:pt idx="2">
                  <c:v>360451</c:v>
                </c:pt>
                <c:pt idx="3">
                  <c:v>120222</c:v>
                </c:pt>
                <c:pt idx="4">
                  <c:v>850741</c:v>
                </c:pt>
                <c:pt idx="5">
                  <c:v>366059</c:v>
                </c:pt>
              </c:numCache>
            </c:numRef>
          </c:val>
        </c:ser>
        <c:dLbls>
          <c:dLblPos val="outEnd"/>
          <c:showLegendKey val="0"/>
          <c:showVal val="1"/>
          <c:showCatName val="0"/>
          <c:showSerName val="0"/>
          <c:showPercent val="0"/>
          <c:showBubbleSize val="0"/>
        </c:dLbls>
        <c:gapWidth val="182"/>
        <c:axId val="-1450072832"/>
        <c:axId val="-1450072288"/>
      </c:barChart>
      <c:catAx>
        <c:axId val="-145007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crossAx val="-1450072288"/>
        <c:crosses val="autoZero"/>
        <c:auto val="1"/>
        <c:lblAlgn val="ctr"/>
        <c:lblOffset val="100"/>
        <c:noMultiLvlLbl val="0"/>
      </c:catAx>
      <c:valAx>
        <c:axId val="-1450072288"/>
        <c:scaling>
          <c:orientation val="minMax"/>
        </c:scaling>
        <c:delete val="1"/>
        <c:axPos val="b"/>
        <c:numFmt formatCode="_ * #,##0_ ;_ * \-#,##0_ ;_ * &quot;-&quot;??_ ;_ @_ " sourceLinked="1"/>
        <c:majorTickMark val="none"/>
        <c:minorTickMark val="none"/>
        <c:tickLblPos val="nextTo"/>
        <c:crossAx val="-1450072832"/>
        <c:crosses val="autoZero"/>
        <c:crossBetween val="between"/>
      </c:valAx>
      <c:spPr>
        <a:noFill/>
        <a:ln>
          <a:noFill/>
        </a:ln>
        <a:effectLst/>
      </c:spPr>
    </c:plotArea>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Dashboard.xlsx]Sheet2!PivotTable3</c:name>
    <c:fmtId val="2"/>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by Sales Men</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528702859510982"/>
          <c:y val="0.12716570284223147"/>
          <c:w val="0.62664279596629358"/>
          <c:h val="0.83512001483734399"/>
        </c:manualLayout>
      </c:layout>
      <c:barChart>
        <c:barDir val="bar"/>
        <c:grouping val="clustered"/>
        <c:varyColors val="0"/>
        <c:ser>
          <c:idx val="0"/>
          <c:order val="0"/>
          <c:tx>
            <c:strRef>
              <c:f>Sheet2!$E$1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Sheet2!$D$2:$D$11</c:f>
              <c:strCache>
                <c:ptCount val="9"/>
                <c:pt idx="0">
                  <c:v>Alok</c:v>
                </c:pt>
                <c:pt idx="1">
                  <c:v>Amit</c:v>
                </c:pt>
                <c:pt idx="2">
                  <c:v>Ankit</c:v>
                </c:pt>
                <c:pt idx="3">
                  <c:v>Dev</c:v>
                </c:pt>
                <c:pt idx="4">
                  <c:v>Mohan</c:v>
                </c:pt>
                <c:pt idx="5">
                  <c:v>Rohan</c:v>
                </c:pt>
                <c:pt idx="6">
                  <c:v>Santosh</c:v>
                </c:pt>
                <c:pt idx="7">
                  <c:v>Sunil</c:v>
                </c:pt>
                <c:pt idx="8">
                  <c:v>Vikas</c:v>
                </c:pt>
              </c:strCache>
            </c:strRef>
          </c:cat>
          <c:val>
            <c:numRef>
              <c:f>Sheet2!$E$2:$E$11</c:f>
              <c:numCache>
                <c:formatCode>_ * #,##0_ ;_ * \-#,##0_ ;_ * "-"??_ ;_ @_ </c:formatCode>
                <c:ptCount val="9"/>
                <c:pt idx="0">
                  <c:v>108113</c:v>
                </c:pt>
                <c:pt idx="1">
                  <c:v>23918</c:v>
                </c:pt>
                <c:pt idx="2">
                  <c:v>168457</c:v>
                </c:pt>
                <c:pt idx="3">
                  <c:v>122515</c:v>
                </c:pt>
                <c:pt idx="4">
                  <c:v>465014</c:v>
                </c:pt>
                <c:pt idx="5">
                  <c:v>41414</c:v>
                </c:pt>
                <c:pt idx="6">
                  <c:v>941090</c:v>
                </c:pt>
                <c:pt idx="7">
                  <c:v>67371</c:v>
                </c:pt>
                <c:pt idx="8">
                  <c:v>63899</c:v>
                </c:pt>
              </c:numCache>
            </c:numRef>
          </c:val>
        </c:ser>
        <c:dLbls>
          <c:dLblPos val="outEnd"/>
          <c:showLegendKey val="0"/>
          <c:showVal val="1"/>
          <c:showCatName val="0"/>
          <c:showSerName val="0"/>
          <c:showPercent val="0"/>
          <c:showBubbleSize val="0"/>
        </c:dLbls>
        <c:gapWidth val="182"/>
        <c:axId val="-1450087520"/>
        <c:axId val="-1450073920"/>
      </c:barChart>
      <c:catAx>
        <c:axId val="-145008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crossAx val="-1450073920"/>
        <c:crosses val="autoZero"/>
        <c:auto val="1"/>
        <c:lblAlgn val="ctr"/>
        <c:lblOffset val="100"/>
        <c:noMultiLvlLbl val="0"/>
      </c:catAx>
      <c:valAx>
        <c:axId val="-1450073920"/>
        <c:scaling>
          <c:orientation val="minMax"/>
        </c:scaling>
        <c:delete val="1"/>
        <c:axPos val="b"/>
        <c:numFmt formatCode="_ * #,##0_ ;_ * \-#,##0_ ;_ * &quot;-&quot;??_ ;_ @_ " sourceLinked="1"/>
        <c:majorTickMark val="none"/>
        <c:minorTickMark val="none"/>
        <c:tickLblPos val="nextTo"/>
        <c:crossAx val="-1450087520"/>
        <c:crosses val="autoZero"/>
        <c:crossBetween val="between"/>
      </c:valAx>
      <c:spPr>
        <a:noFill/>
        <a:ln>
          <a:noFill/>
        </a:ln>
        <a:effectLst/>
      </c:spPr>
    </c:plotArea>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Dashboard.xlsx]Sheet2!PivotTable6</c:name>
    <c:fmtId val="6"/>
  </c:pivotSource>
  <c:chart>
    <c:title>
      <c:tx>
        <c:rich>
          <a:bodyPr rot="0" spcFirstLastPara="1" vertOverflow="ellipsis" vert="horz" wrap="square" anchor="ctr" anchorCtr="1"/>
          <a:lstStyle/>
          <a:p>
            <a:pPr algn="ctr" rtl="0">
              <a:defRPr lang="en-IN" sz="1680" b="1" i="0" u="none" strike="noStrike" kern="1200" spc="0" baseline="0">
                <a:solidFill>
                  <a:schemeClr val="bg1"/>
                </a:solidFill>
                <a:latin typeface="+mn-lt"/>
                <a:ea typeface="+mn-ea"/>
                <a:cs typeface="+mn-cs"/>
              </a:defRPr>
            </a:pPr>
            <a:r>
              <a:rPr lang="en-US"/>
              <a:t>Total by States</a:t>
            </a:r>
          </a:p>
        </c:rich>
      </c:tx>
      <c:layout>
        <c:manualLayout>
          <c:xMode val="edge"/>
          <c:yMode val="edge"/>
          <c:x val="0.42629300785386598"/>
          <c:y val="6.7774114745751332E-2"/>
        </c:manualLayout>
      </c:layout>
      <c:overlay val="0"/>
      <c:spPr>
        <a:noFill/>
        <a:ln>
          <a:noFill/>
        </a:ln>
        <a:effectLst/>
      </c:spPr>
      <c:txPr>
        <a:bodyPr rot="0" spcFirstLastPara="1" vertOverflow="ellipsis" vert="horz" wrap="square" anchor="ctr" anchorCtr="1"/>
        <a:lstStyle/>
        <a:p>
          <a:pPr algn="ctr" rtl="0">
            <a:defRPr lang="en-IN" sz="168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900" b="0" i="0" u="none" strike="noStrike" kern="1200" spc="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1756769284179677E-2"/>
          <c:y val="0.2274943793630175"/>
          <c:w val="0.98821165438713998"/>
          <c:h val="0.62074182990737647"/>
        </c:manualLayout>
      </c:layout>
      <c:barChart>
        <c:barDir val="col"/>
        <c:grouping val="clustered"/>
        <c:varyColors val="0"/>
        <c:ser>
          <c:idx val="0"/>
          <c:order val="0"/>
          <c:tx>
            <c:strRef>
              <c:f>Sheet2!$Z$1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Sheet2!$Y$2:$Y$31</c:f>
              <c:strCache>
                <c:ptCount val="29"/>
                <c:pt idx="0">
                  <c:v>AP-N</c:v>
                </c:pt>
                <c:pt idx="1">
                  <c:v>AR</c:v>
                </c:pt>
                <c:pt idx="2">
                  <c:v>AS</c:v>
                </c:pt>
                <c:pt idx="3">
                  <c:v>BR</c:v>
                </c:pt>
                <c:pt idx="4">
                  <c:v>CG</c:v>
                </c:pt>
                <c:pt idx="5">
                  <c:v>CH</c:v>
                </c:pt>
                <c:pt idx="6">
                  <c:v>DL</c:v>
                </c:pt>
                <c:pt idx="7">
                  <c:v>GA</c:v>
                </c:pt>
                <c:pt idx="8">
                  <c:v>GJ</c:v>
                </c:pt>
                <c:pt idx="9">
                  <c:v>HR</c:v>
                </c:pt>
                <c:pt idx="10">
                  <c:v>JH</c:v>
                </c:pt>
                <c:pt idx="11">
                  <c:v>JK</c:v>
                </c:pt>
                <c:pt idx="12">
                  <c:v>KA</c:v>
                </c:pt>
                <c:pt idx="13">
                  <c:v>KL</c:v>
                </c:pt>
                <c:pt idx="14">
                  <c:v>MH</c:v>
                </c:pt>
                <c:pt idx="15">
                  <c:v>ML</c:v>
                </c:pt>
                <c:pt idx="16">
                  <c:v>MP</c:v>
                </c:pt>
                <c:pt idx="17">
                  <c:v>MZ</c:v>
                </c:pt>
                <c:pt idx="18">
                  <c:v>NL</c:v>
                </c:pt>
                <c:pt idx="19">
                  <c:v>OD</c:v>
                </c:pt>
                <c:pt idx="20">
                  <c:v>PB</c:v>
                </c:pt>
                <c:pt idx="21">
                  <c:v>PY</c:v>
                </c:pt>
                <c:pt idx="22">
                  <c:v>RJ</c:v>
                </c:pt>
                <c:pt idx="23">
                  <c:v>TN</c:v>
                </c:pt>
                <c:pt idx="24">
                  <c:v>TR</c:v>
                </c:pt>
                <c:pt idx="25">
                  <c:v>TS</c:v>
                </c:pt>
                <c:pt idx="26">
                  <c:v>UK</c:v>
                </c:pt>
                <c:pt idx="27">
                  <c:v>UP</c:v>
                </c:pt>
                <c:pt idx="28">
                  <c:v>WB</c:v>
                </c:pt>
              </c:strCache>
            </c:strRef>
          </c:cat>
          <c:val>
            <c:numRef>
              <c:f>Sheet2!$Z$2:$Z$31</c:f>
              <c:numCache>
                <c:formatCode>_ * #,##0_ ;_ * \-#,##0_ ;_ * "-"??_ ;_ @_ </c:formatCode>
                <c:ptCount val="29"/>
                <c:pt idx="0">
                  <c:v>67837</c:v>
                </c:pt>
                <c:pt idx="1">
                  <c:v>26673</c:v>
                </c:pt>
                <c:pt idx="2">
                  <c:v>49369</c:v>
                </c:pt>
                <c:pt idx="3">
                  <c:v>17019</c:v>
                </c:pt>
                <c:pt idx="4">
                  <c:v>4120</c:v>
                </c:pt>
                <c:pt idx="5">
                  <c:v>18232</c:v>
                </c:pt>
                <c:pt idx="6">
                  <c:v>48524</c:v>
                </c:pt>
                <c:pt idx="7">
                  <c:v>21406</c:v>
                </c:pt>
                <c:pt idx="8">
                  <c:v>122298</c:v>
                </c:pt>
                <c:pt idx="9">
                  <c:v>72690</c:v>
                </c:pt>
                <c:pt idx="10">
                  <c:v>13018</c:v>
                </c:pt>
                <c:pt idx="11">
                  <c:v>3861</c:v>
                </c:pt>
                <c:pt idx="12">
                  <c:v>262475</c:v>
                </c:pt>
                <c:pt idx="13">
                  <c:v>102549</c:v>
                </c:pt>
                <c:pt idx="14">
                  <c:v>222355</c:v>
                </c:pt>
                <c:pt idx="15">
                  <c:v>9854</c:v>
                </c:pt>
                <c:pt idx="16">
                  <c:v>67071</c:v>
                </c:pt>
                <c:pt idx="17">
                  <c:v>15796</c:v>
                </c:pt>
                <c:pt idx="18">
                  <c:v>16614</c:v>
                </c:pt>
                <c:pt idx="19">
                  <c:v>67313</c:v>
                </c:pt>
                <c:pt idx="20">
                  <c:v>11751</c:v>
                </c:pt>
                <c:pt idx="21">
                  <c:v>31048</c:v>
                </c:pt>
                <c:pt idx="22">
                  <c:v>162323</c:v>
                </c:pt>
                <c:pt idx="23">
                  <c:v>338921</c:v>
                </c:pt>
                <c:pt idx="24">
                  <c:v>1916</c:v>
                </c:pt>
                <c:pt idx="25">
                  <c:v>47911</c:v>
                </c:pt>
                <c:pt idx="26">
                  <c:v>36401</c:v>
                </c:pt>
                <c:pt idx="27">
                  <c:v>6669</c:v>
                </c:pt>
                <c:pt idx="28">
                  <c:v>135777</c:v>
                </c:pt>
              </c:numCache>
            </c:numRef>
          </c:val>
        </c:ser>
        <c:dLbls>
          <c:dLblPos val="outEnd"/>
          <c:showLegendKey val="0"/>
          <c:showVal val="1"/>
          <c:showCatName val="0"/>
          <c:showSerName val="0"/>
          <c:showPercent val="0"/>
          <c:showBubbleSize val="0"/>
        </c:dLbls>
        <c:gapWidth val="182"/>
        <c:axId val="-1450074464"/>
        <c:axId val="-1450079360"/>
      </c:barChart>
      <c:catAx>
        <c:axId val="-145007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IN" sz="1400" b="1" i="0" u="none" strike="noStrike" kern="1200" spc="0" baseline="0">
                <a:solidFill>
                  <a:schemeClr val="bg1"/>
                </a:solidFill>
                <a:latin typeface="+mn-lt"/>
                <a:ea typeface="+mn-ea"/>
                <a:cs typeface="+mn-cs"/>
              </a:defRPr>
            </a:pPr>
            <a:endParaRPr lang="en-US"/>
          </a:p>
        </c:txPr>
        <c:crossAx val="-1450079360"/>
        <c:crosses val="autoZero"/>
        <c:auto val="1"/>
        <c:lblAlgn val="ctr"/>
        <c:lblOffset val="100"/>
        <c:noMultiLvlLbl val="0"/>
      </c:catAx>
      <c:valAx>
        <c:axId val="-1450079360"/>
        <c:scaling>
          <c:orientation val="minMax"/>
        </c:scaling>
        <c:delete val="1"/>
        <c:axPos val="l"/>
        <c:numFmt formatCode="_ * #,##0_ ;_ * \-#,##0_ ;_ * &quot;-&quot;??_ ;_ @_ " sourceLinked="1"/>
        <c:majorTickMark val="none"/>
        <c:minorTickMark val="none"/>
        <c:tickLblPos val="nextTo"/>
        <c:crossAx val="-1450074464"/>
        <c:crosses val="autoZero"/>
        <c:crossBetween val="between"/>
      </c:valAx>
      <c:spPr>
        <a:solidFill>
          <a:srgbClr val="001C64"/>
        </a:solidFill>
        <a:ln>
          <a:noFill/>
        </a:ln>
        <a:effectLst/>
      </c:spPr>
    </c:plotArea>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lgn="ctr" rtl="0">
        <a:defRPr lang="en-IN" sz="1400" b="1" i="0" u="none" strike="noStrike" kern="1200" spc="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Dashboard.xlsx]Sheet2!PivotTable16</c:name>
    <c:fmtId val="10"/>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Total by Banks</a:t>
            </a:r>
          </a:p>
        </c:rich>
      </c:tx>
      <c:layout>
        <c:manualLayout>
          <c:xMode val="edge"/>
          <c:yMode val="edge"/>
          <c:x val="0.71182584269662919"/>
          <c:y val="6.011560693641618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rgbClr val="F10FD1"/>
          </a:solidFill>
          <a:ln>
            <a:noFill/>
          </a:ln>
          <a:effectLst/>
        </c:spPr>
      </c:pivotFmt>
      <c:pivotFmt>
        <c:idx val="24"/>
        <c:spPr>
          <a:solidFill>
            <a:schemeClr val="accent4">
              <a:lumMod val="40000"/>
              <a:lumOff val="60000"/>
            </a:schemeClr>
          </a:solidFill>
          <a:ln>
            <a:noFill/>
          </a:ln>
          <a:effectLst/>
        </c:spPr>
      </c:pivotFmt>
      <c:pivotFmt>
        <c:idx val="25"/>
        <c:spPr>
          <a:solidFill>
            <a:schemeClr val="accent1"/>
          </a:solidFill>
          <a:ln>
            <a:noFill/>
          </a:ln>
          <a:effectLst/>
        </c:spPr>
      </c:pivotFmt>
      <c:pivotFmt>
        <c:idx val="26"/>
        <c:spPr>
          <a:solidFill>
            <a:schemeClr val="accent2">
              <a:lumMod val="75000"/>
            </a:schemeClr>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s>
    <c:plotArea>
      <c:layout>
        <c:manualLayout>
          <c:layoutTarget val="inner"/>
          <c:xMode val="edge"/>
          <c:yMode val="edge"/>
          <c:x val="0.18190672604454977"/>
          <c:y val="0.10403614213746437"/>
          <c:w val="0.4669350386723452"/>
          <c:h val="0.80171877743412434"/>
        </c:manualLayout>
      </c:layout>
      <c:pieChart>
        <c:varyColors val="1"/>
        <c:ser>
          <c:idx val="0"/>
          <c:order val="0"/>
          <c:tx>
            <c:strRef>
              <c:f>Sheet2!$Q$1</c:f>
              <c:strCache>
                <c:ptCount val="1"/>
                <c:pt idx="0">
                  <c:v>Total</c:v>
                </c:pt>
              </c:strCache>
            </c:strRef>
          </c:tx>
          <c:dPt>
            <c:idx val="0"/>
            <c:bubble3D val="0"/>
            <c:spPr>
              <a:solidFill>
                <a:schemeClr val="accent4">
                  <a:lumMod val="40000"/>
                  <a:lumOff val="60000"/>
                </a:schemeClr>
              </a:solidFill>
              <a:ln>
                <a:noFill/>
              </a:ln>
              <a:effectLst/>
            </c:spPr>
          </c:dPt>
          <c:dPt>
            <c:idx val="1"/>
            <c:bubble3D val="0"/>
            <c:spPr>
              <a:solidFill>
                <a:schemeClr val="accent2"/>
              </a:solidFill>
              <a:ln>
                <a:noFill/>
              </a:ln>
              <a:effectLst/>
            </c:spPr>
          </c:dPt>
          <c:dPt>
            <c:idx val="2"/>
            <c:bubble3D val="0"/>
            <c:spPr>
              <a:solidFill>
                <a:schemeClr val="accent2">
                  <a:lumMod val="75000"/>
                </a:schemeClr>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spPr>
              <a:noFill/>
              <a:ln>
                <a:noFill/>
              </a:ln>
              <a:effectLst/>
            </c:spPr>
            <c:txPr>
              <a:bodyPr rot="0" spcFirstLastPara="1" vertOverflow="ellipsis" vert="horz" wrap="square" lIns="38100" tIns="19050" rIns="38100" bIns="19050" anchor="ctr" anchorCtr="0">
                <a:spAutoFit/>
              </a:bodyPr>
              <a:lstStyle/>
              <a:p>
                <a:pPr algn="ctr" rtl="0">
                  <a:defRPr lang="en-IN" sz="1400" b="1" i="0" u="none" strike="noStrike" kern="1200" spc="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Sheet2!$P$2:$P$7</c:f>
              <c:strCache>
                <c:ptCount val="5"/>
                <c:pt idx="0">
                  <c:v>BANDHAN</c:v>
                </c:pt>
                <c:pt idx="1">
                  <c:v>HDFC </c:v>
                </c:pt>
                <c:pt idx="2">
                  <c:v>ICICI</c:v>
                </c:pt>
                <c:pt idx="3">
                  <c:v>IDFC FIRST</c:v>
                </c:pt>
                <c:pt idx="4">
                  <c:v>RBL</c:v>
                </c:pt>
              </c:strCache>
            </c:strRef>
          </c:cat>
          <c:val>
            <c:numRef>
              <c:f>Sheet2!$Q$2:$Q$7</c:f>
              <c:numCache>
                <c:formatCode>0.00%</c:formatCode>
                <c:ptCount val="5"/>
                <c:pt idx="0">
                  <c:v>0.32528695107141459</c:v>
                </c:pt>
                <c:pt idx="1">
                  <c:v>0.18724487797234302</c:v>
                </c:pt>
                <c:pt idx="2">
                  <c:v>0.18491009519332471</c:v>
                </c:pt>
                <c:pt idx="3">
                  <c:v>8.1934161214922765E-2</c:v>
                </c:pt>
                <c:pt idx="4">
                  <c:v>0.22062391454799493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456785977055028"/>
          <c:y val="0.16232627375496417"/>
          <c:w val="0.21511202225801729"/>
          <c:h val="0.71594861462945159"/>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legend>
    <c:plotVisOnly val="1"/>
    <c:dispBlanksAs val="gap"/>
    <c:showDLblsOverMax val="0"/>
  </c:chart>
  <c:spPr>
    <a:solidFill>
      <a:srgbClr val="001C6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43</xdr:col>
      <xdr:colOff>525992</xdr:colOff>
      <xdr:row>66</xdr:row>
      <xdr:rowOff>6350</xdr:rowOff>
    </xdr:to>
    <xdr:grpSp>
      <xdr:nvGrpSpPr>
        <xdr:cNvPr id="34" name="Group 33"/>
        <xdr:cNvGrpSpPr/>
      </xdr:nvGrpSpPr>
      <xdr:grpSpPr>
        <a:xfrm>
          <a:off x="0" y="0"/>
          <a:ext cx="26920825" cy="12579350"/>
          <a:chOff x="0" y="0"/>
          <a:chExt cx="26920825" cy="12579350"/>
        </a:xfrm>
      </xdr:grpSpPr>
      <xdr:pic>
        <xdr:nvPicPr>
          <xdr:cNvPr id="2" name="Picture 1"/>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300000"/>
                    </a14:imgEffect>
                    <a14:imgEffect>
                      <a14:brightnessContrast bright="20000"/>
                    </a14:imgEffect>
                  </a14:imgLayer>
                </a14:imgProps>
              </a:ext>
              <a:ext uri="{28A0092B-C50C-407E-A947-70E740481C1C}">
                <a14:useLocalDpi xmlns:a14="http://schemas.microsoft.com/office/drawing/2010/main" val="0"/>
              </a:ext>
            </a:extLst>
          </a:blip>
          <a:stretch>
            <a:fillRect/>
          </a:stretch>
        </xdr:blipFill>
        <xdr:spPr>
          <a:xfrm>
            <a:off x="0" y="0"/>
            <a:ext cx="26920825" cy="12579350"/>
          </a:xfrm>
          <a:prstGeom prst="rect">
            <a:avLst/>
          </a:prstGeom>
          <a:ln>
            <a:noFill/>
          </a:ln>
          <a:effectLst>
            <a:outerShdw blurRad="292100" dist="139700" dir="2700000" algn="tl" rotWithShape="0">
              <a:srgbClr val="333333">
                <a:alpha val="65000"/>
              </a:srgbClr>
            </a:outerShdw>
          </a:effectLst>
        </xdr:spPr>
      </xdr:pic>
      <xdr:sp macro="" textlink="">
        <xdr:nvSpPr>
          <xdr:cNvPr id="3" name="Rectangle 2"/>
          <xdr:cNvSpPr/>
        </xdr:nvSpPr>
        <xdr:spPr>
          <a:xfrm>
            <a:off x="10143067" y="139700"/>
            <a:ext cx="4851399" cy="600744"/>
          </a:xfrm>
          <a:prstGeom prst="rect">
            <a:avLst/>
          </a:prstGeom>
          <a:noFill/>
        </xdr:spPr>
        <xdr:style>
          <a:lnRef idx="1">
            <a:schemeClr val="accent5"/>
          </a:lnRef>
          <a:fillRef idx="2">
            <a:schemeClr val="accent5"/>
          </a:fillRef>
          <a:effectRef idx="1">
            <a:schemeClr val="accent5"/>
          </a:effectRef>
          <a:fontRef idx="minor">
            <a:schemeClr val="dk1"/>
          </a:fontRef>
        </xdr:style>
        <xdr:txBody>
          <a:bodyPr wrap="square" lIns="91440" tIns="45720" rIns="91440" bIns="45720">
            <a:noAutofit/>
          </a:bodyPr>
          <a:lstStyle/>
          <a:p>
            <a:pPr algn="l"/>
            <a:r>
              <a:rPr lang="en-US" sz="3200" b="1" cap="none" spc="0">
                <a:ln w="12700">
                  <a:solidFill>
                    <a:schemeClr val="accent5"/>
                  </a:solidFill>
                  <a:prstDash val="solid"/>
                </a:ln>
                <a:pattFill prst="ltDnDiag">
                  <a:fgClr>
                    <a:schemeClr val="accent5">
                      <a:lumMod val="60000"/>
                      <a:lumOff val="40000"/>
                    </a:schemeClr>
                  </a:fgClr>
                  <a:bgClr>
                    <a:schemeClr val="bg1"/>
                  </a:bgClr>
                </a:pattFill>
                <a:effectLst/>
              </a:rPr>
              <a:t>Sales Analysis Dashboard</a:t>
            </a:r>
          </a:p>
        </xdr:txBody>
      </xdr:sp>
      <xdr:graphicFrame macro="">
        <xdr:nvGraphicFramePr>
          <xdr:cNvPr id="4" name="Chart 3"/>
          <xdr:cNvGraphicFramePr>
            <a:graphicFrameLocks/>
          </xdr:cNvGraphicFramePr>
        </xdr:nvGraphicFramePr>
        <xdr:xfrm>
          <a:off x="23270632" y="1159933"/>
          <a:ext cx="3316816" cy="731096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xdr:cNvGraphicFramePr>
            <a:graphicFrameLocks/>
          </xdr:cNvGraphicFramePr>
        </xdr:nvGraphicFramePr>
        <xdr:xfrm>
          <a:off x="127001" y="5933017"/>
          <a:ext cx="6862233" cy="273473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xdr:cNvGraphicFramePr>
            <a:graphicFrameLocks/>
          </xdr:cNvGraphicFramePr>
        </xdr:nvGraphicFramePr>
        <xdr:xfrm>
          <a:off x="11981390" y="4669367"/>
          <a:ext cx="5193242" cy="393488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 name="Chart 6"/>
          <xdr:cNvGraphicFramePr>
            <a:graphicFrameLocks/>
          </xdr:cNvGraphicFramePr>
        </xdr:nvGraphicFramePr>
        <xdr:xfrm>
          <a:off x="17448741" y="4564592"/>
          <a:ext cx="5562600" cy="399097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8" name="Chart 7"/>
          <xdr:cNvGraphicFramePr>
            <a:graphicFrameLocks/>
          </xdr:cNvGraphicFramePr>
        </xdr:nvGraphicFramePr>
        <xdr:xfrm>
          <a:off x="7201430" y="5006975"/>
          <a:ext cx="4629149" cy="361844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9" name="Chart 8"/>
          <xdr:cNvGraphicFramePr>
            <a:graphicFrameLocks/>
          </xdr:cNvGraphicFramePr>
        </xdr:nvGraphicFramePr>
        <xdr:xfrm>
          <a:off x="11846452" y="1068917"/>
          <a:ext cx="5169430" cy="3336925"/>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0" name="Chart 9"/>
          <xdr:cNvGraphicFramePr>
            <a:graphicFrameLocks/>
          </xdr:cNvGraphicFramePr>
        </xdr:nvGraphicFramePr>
        <xdr:xfrm>
          <a:off x="17499540" y="1159933"/>
          <a:ext cx="5559425" cy="3271309"/>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1" name="TextBox 10"/>
          <xdr:cNvSpPr txBox="1"/>
        </xdr:nvSpPr>
        <xdr:spPr>
          <a:xfrm>
            <a:off x="111124" y="1005417"/>
            <a:ext cx="6909859" cy="4655608"/>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i="1">
                <a:solidFill>
                  <a:schemeClr val="bg1"/>
                </a:solidFill>
              </a:rPr>
              <a:t>Filters</a:t>
            </a:r>
          </a:p>
        </xdr:txBody>
      </xdr:sp>
      <mc:AlternateContent xmlns:mc="http://schemas.openxmlformats.org/markup-compatibility/2006" xmlns:a14="http://schemas.microsoft.com/office/drawing/2010/main">
        <mc:Choice Requires="a14">
          <xdr:graphicFrame macro="">
            <xdr:nvGraphicFramePr>
              <xdr:cNvPr id="12" name="Bank 1"/>
              <xdr:cNvGraphicFramePr/>
            </xdr:nvGraphicFramePr>
            <xdr:xfrm>
              <a:off x="4017432" y="3321050"/>
              <a:ext cx="1398059" cy="2074333"/>
            </xdr:xfrm>
            <a:graphic>
              <a:graphicData uri="http://schemas.microsoft.com/office/drawing/2010/slicer">
                <sle:slicer xmlns:sle="http://schemas.microsoft.com/office/drawing/2010/slicer" name="Bank 1"/>
              </a:graphicData>
            </a:graphic>
          </xdr:graphicFrame>
        </mc:Choice>
        <mc:Fallback xmlns="">
          <xdr:sp macro="" textlink="">
            <xdr:nvSpPr>
              <xdr:cNvPr id="0" name=""/>
              <xdr:cNvSpPr>
                <a:spLocks noTextEdit="1"/>
              </xdr:cNvSpPr>
            </xdr:nvSpPr>
            <xdr:spPr>
              <a:xfrm>
                <a:off x="4017432" y="3321050"/>
                <a:ext cx="1398059" cy="2074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Region 1"/>
              <xdr:cNvGraphicFramePr/>
            </xdr:nvGraphicFramePr>
            <xdr:xfrm>
              <a:off x="2201335" y="3321050"/>
              <a:ext cx="1418166" cy="2036233"/>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01335" y="3321050"/>
                <a:ext cx="1418166" cy="2036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Sales men 1"/>
              <xdr:cNvGraphicFramePr/>
            </xdr:nvGraphicFramePr>
            <xdr:xfrm>
              <a:off x="5580591" y="1651001"/>
              <a:ext cx="1302809" cy="2793999"/>
            </xdr:xfrm>
            <a:graphic>
              <a:graphicData uri="http://schemas.microsoft.com/office/drawing/2010/slicer">
                <sle:slicer xmlns:sle="http://schemas.microsoft.com/office/drawing/2010/slicer" name="Sales men 1"/>
              </a:graphicData>
            </a:graphic>
          </xdr:graphicFrame>
        </mc:Choice>
        <mc:Fallback xmlns="">
          <xdr:sp macro="" textlink="">
            <xdr:nvSpPr>
              <xdr:cNvPr id="0" name=""/>
              <xdr:cNvSpPr>
                <a:spLocks noTextEdit="1"/>
              </xdr:cNvSpPr>
            </xdr:nvSpPr>
            <xdr:spPr>
              <a:xfrm>
                <a:off x="5580591" y="1651001"/>
                <a:ext cx="1302809" cy="279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Product 1"/>
              <xdr:cNvGraphicFramePr/>
            </xdr:nvGraphicFramePr>
            <xdr:xfrm>
              <a:off x="187325" y="3246967"/>
              <a:ext cx="1590675" cy="2192866"/>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87325" y="3246967"/>
                <a:ext cx="1590675" cy="2192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States 1"/>
              <xdr:cNvGraphicFramePr/>
            </xdr:nvGraphicFramePr>
            <xdr:xfrm>
              <a:off x="206375" y="1665818"/>
              <a:ext cx="5233458" cy="1361016"/>
            </xdr:xfrm>
            <a:graphic>
              <a:graphicData uri="http://schemas.microsoft.com/office/drawing/2010/slicer">
                <sle:slicer xmlns:sle="http://schemas.microsoft.com/office/drawing/2010/slicer" name="States 1"/>
              </a:graphicData>
            </a:graphic>
          </xdr:graphicFrame>
        </mc:Choice>
        <mc:Fallback xmlns="">
          <xdr:sp macro="" textlink="">
            <xdr:nvSpPr>
              <xdr:cNvPr id="0" name=""/>
              <xdr:cNvSpPr>
                <a:spLocks noTextEdit="1"/>
              </xdr:cNvSpPr>
            </xdr:nvSpPr>
            <xdr:spPr>
              <a:xfrm>
                <a:off x="206375" y="1665818"/>
                <a:ext cx="5233458" cy="1361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7" name="Chart 16"/>
          <xdr:cNvGraphicFramePr>
            <a:graphicFrameLocks/>
          </xdr:cNvGraphicFramePr>
        </xdr:nvGraphicFramePr>
        <xdr:xfrm>
          <a:off x="7142692" y="963083"/>
          <a:ext cx="4537074" cy="383116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8" name="Chart 17"/>
          <xdr:cNvGraphicFramePr>
            <a:graphicFrameLocks/>
          </xdr:cNvGraphicFramePr>
        </xdr:nvGraphicFramePr>
        <xdr:xfrm>
          <a:off x="211667" y="8955617"/>
          <a:ext cx="21505332" cy="3293532"/>
        </xdr:xfrm>
        <a:graphic>
          <a:graphicData uri="http://schemas.openxmlformats.org/drawingml/2006/chart">
            <c:chart xmlns:c="http://schemas.openxmlformats.org/drawingml/2006/chart" xmlns:r="http://schemas.openxmlformats.org/officeDocument/2006/relationships" r:id="rId11"/>
          </a:graphicData>
        </a:graphic>
      </xdr:graphicFrame>
      <xdr:grpSp>
        <xdr:nvGrpSpPr>
          <xdr:cNvPr id="19" name="Group 18"/>
          <xdr:cNvGrpSpPr/>
        </xdr:nvGrpSpPr>
        <xdr:grpSpPr>
          <a:xfrm>
            <a:off x="22229233" y="8955617"/>
            <a:ext cx="4453042" cy="3409949"/>
            <a:chOff x="22076833" y="8657167"/>
            <a:chExt cx="4423409" cy="3301999"/>
          </a:xfrm>
          <a:solidFill>
            <a:srgbClr val="001C64"/>
          </a:solidFill>
        </xdr:grpSpPr>
        <xdr:grpSp>
          <xdr:nvGrpSpPr>
            <xdr:cNvPr id="20" name="Group 19"/>
            <xdr:cNvGrpSpPr/>
          </xdr:nvGrpSpPr>
          <xdr:grpSpPr>
            <a:xfrm>
              <a:off x="22076833" y="9694333"/>
              <a:ext cx="4423409" cy="2264833"/>
              <a:chOff x="27939999" y="846667"/>
              <a:chExt cx="4423409" cy="2836333"/>
            </a:xfrm>
            <a:grpFill/>
          </xdr:grpSpPr>
          <xdr:sp macro="" textlink="">
            <xdr:nvSpPr>
              <xdr:cNvPr id="26" name="TextBox 25"/>
              <xdr:cNvSpPr txBox="1"/>
            </xdr:nvSpPr>
            <xdr:spPr>
              <a:xfrm>
                <a:off x="27940000" y="846667"/>
                <a:ext cx="2952750" cy="656166"/>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bg1"/>
                    </a:solidFill>
                  </a:rPr>
                  <a:t>🏆 Top Salesman</a:t>
                </a:r>
              </a:p>
            </xdr:txBody>
          </xdr:sp>
          <xdr:sp macro="" textlink="">
            <xdr:nvSpPr>
              <xdr:cNvPr id="27" name="TextBox 26"/>
              <xdr:cNvSpPr txBox="1"/>
            </xdr:nvSpPr>
            <xdr:spPr>
              <a:xfrm>
                <a:off x="27961166" y="1566334"/>
                <a:ext cx="2952750" cy="656166"/>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800" b="1">
                    <a:solidFill>
                      <a:schemeClr val="bg1"/>
                    </a:solidFill>
                    <a:latin typeface="+mn-lt"/>
                    <a:ea typeface="+mn-ea"/>
                    <a:cs typeface="+mn-cs"/>
                  </a:rPr>
                  <a:t>🏆 Top Bank</a:t>
                </a:r>
              </a:p>
            </xdr:txBody>
          </xdr:sp>
          <xdr:sp macro="" textlink="">
            <xdr:nvSpPr>
              <xdr:cNvPr id="28" name="TextBox 27"/>
              <xdr:cNvSpPr txBox="1"/>
            </xdr:nvSpPr>
            <xdr:spPr>
              <a:xfrm>
                <a:off x="27940000" y="2328333"/>
                <a:ext cx="2952750" cy="656166"/>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bg1"/>
                    </a:solidFill>
                  </a:rPr>
                  <a:t>🏆 Top Region</a:t>
                </a:r>
              </a:p>
            </xdr:txBody>
          </xdr:sp>
          <xdr:sp macro="" textlink="">
            <xdr:nvSpPr>
              <xdr:cNvPr id="29" name="TextBox 28"/>
              <xdr:cNvSpPr txBox="1"/>
            </xdr:nvSpPr>
            <xdr:spPr>
              <a:xfrm>
                <a:off x="27939999" y="3026834"/>
                <a:ext cx="2952750" cy="656166"/>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800" b="1">
                    <a:solidFill>
                      <a:schemeClr val="bg1"/>
                    </a:solidFill>
                    <a:latin typeface="+mn-lt"/>
                    <a:ea typeface="+mn-ea"/>
                    <a:cs typeface="+mn-cs"/>
                  </a:rPr>
                  <a:t>🏆 Top Product</a:t>
                </a:r>
              </a:p>
            </xdr:txBody>
          </xdr:sp>
          <xdr:sp macro="" textlink="Sheet2!AI16">
            <xdr:nvSpPr>
              <xdr:cNvPr id="30" name="TextBox 29"/>
              <xdr:cNvSpPr txBox="1"/>
            </xdr:nvSpPr>
            <xdr:spPr>
              <a:xfrm>
                <a:off x="29882041" y="873126"/>
                <a:ext cx="2392155" cy="587374"/>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799FA66-3812-4856-B498-055AC663B213}" type="TxLink">
                  <a:rPr lang="en-US" sz="1800" b="1">
                    <a:solidFill>
                      <a:schemeClr val="bg1"/>
                    </a:solidFill>
                    <a:latin typeface="+mn-lt"/>
                    <a:ea typeface="+mn-ea"/>
                    <a:cs typeface="+mn-cs"/>
                  </a:rPr>
                  <a:pPr marL="0" indent="0" algn="l"/>
                  <a:t>Santosh</a:t>
                </a:fld>
                <a:endParaRPr lang="en-IN" sz="1800" b="1">
                  <a:solidFill>
                    <a:schemeClr val="bg1"/>
                  </a:solidFill>
                  <a:latin typeface="+mn-lt"/>
                  <a:ea typeface="+mn-ea"/>
                  <a:cs typeface="+mn-cs"/>
                </a:endParaRPr>
              </a:p>
            </xdr:txBody>
          </xdr:sp>
          <xdr:sp macro="" textlink="Sheet2!AO16">
            <xdr:nvSpPr>
              <xdr:cNvPr id="31" name="TextBox 30"/>
              <xdr:cNvSpPr txBox="1"/>
            </xdr:nvSpPr>
            <xdr:spPr>
              <a:xfrm>
                <a:off x="29908500" y="1587499"/>
                <a:ext cx="2388663" cy="592668"/>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5902B9D-BB9F-4ADF-B040-5B75D2B28FE1}" type="TxLink">
                  <a:rPr lang="en-US" sz="1800" b="1">
                    <a:solidFill>
                      <a:schemeClr val="bg1"/>
                    </a:solidFill>
                    <a:latin typeface="+mn-lt"/>
                    <a:ea typeface="+mn-ea"/>
                    <a:cs typeface="+mn-cs"/>
                  </a:rPr>
                  <a:pPr marL="0" indent="0" algn="l"/>
                  <a:t>HDFC </a:t>
                </a:fld>
                <a:endParaRPr lang="en-IN" sz="1800" b="1">
                  <a:solidFill>
                    <a:schemeClr val="bg1"/>
                  </a:solidFill>
                  <a:latin typeface="+mn-lt"/>
                  <a:ea typeface="+mn-ea"/>
                  <a:cs typeface="+mn-cs"/>
                </a:endParaRPr>
              </a:p>
            </xdr:txBody>
          </xdr:sp>
          <xdr:sp macro="" textlink="Sheet2!AL16">
            <xdr:nvSpPr>
              <xdr:cNvPr id="32" name="TextBox 31"/>
              <xdr:cNvSpPr txBox="1"/>
            </xdr:nvSpPr>
            <xdr:spPr>
              <a:xfrm>
                <a:off x="29919080" y="2364312"/>
                <a:ext cx="2423587" cy="620188"/>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AF7920-25BC-4D0E-A9E4-289670FF2102}" type="TxLink">
                  <a:rPr lang="en-US" sz="1800" b="1">
                    <a:solidFill>
                      <a:schemeClr val="bg1"/>
                    </a:solidFill>
                    <a:latin typeface="+mn-lt"/>
                    <a:ea typeface="+mn-ea"/>
                    <a:cs typeface="+mn-cs"/>
                  </a:rPr>
                  <a:pPr marL="0" indent="0" algn="l"/>
                  <a:t>South </a:t>
                </a:fld>
                <a:endParaRPr lang="en-IN" sz="1800" b="1">
                  <a:solidFill>
                    <a:schemeClr val="bg1"/>
                  </a:solidFill>
                  <a:latin typeface="+mn-lt"/>
                  <a:ea typeface="+mn-ea"/>
                  <a:cs typeface="+mn-cs"/>
                </a:endParaRPr>
              </a:p>
            </xdr:txBody>
          </xdr:sp>
          <xdr:sp macro="" textlink="Sheet2!AF16">
            <xdr:nvSpPr>
              <xdr:cNvPr id="33" name="TextBox 32"/>
              <xdr:cNvSpPr txBox="1"/>
            </xdr:nvSpPr>
            <xdr:spPr>
              <a:xfrm>
                <a:off x="29897917" y="3069167"/>
                <a:ext cx="2465491" cy="613833"/>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B91C466-02F0-4E7E-BC66-29113A696E65}" type="TxLink">
                  <a:rPr lang="en-US" sz="1800" b="1">
                    <a:solidFill>
                      <a:schemeClr val="bg1"/>
                    </a:solidFill>
                    <a:latin typeface="+mn-lt"/>
                    <a:ea typeface="+mn-ea"/>
                    <a:cs typeface="+mn-cs"/>
                  </a:rPr>
                  <a:pPr marL="0" indent="0" algn="l"/>
                  <a:t>Home Loan </a:t>
                </a:fld>
                <a:endParaRPr lang="en-IN" sz="1800" b="1">
                  <a:solidFill>
                    <a:schemeClr val="bg1"/>
                  </a:solidFill>
                  <a:latin typeface="+mn-lt"/>
                  <a:ea typeface="+mn-ea"/>
                  <a:cs typeface="+mn-cs"/>
                </a:endParaRPr>
              </a:p>
            </xdr:txBody>
          </xdr:sp>
        </xdr:grpSp>
        <xdr:grpSp>
          <xdr:nvGrpSpPr>
            <xdr:cNvPr id="21" name="Group 20"/>
            <xdr:cNvGrpSpPr/>
          </xdr:nvGrpSpPr>
          <xdr:grpSpPr>
            <a:xfrm>
              <a:off x="22076833" y="8657167"/>
              <a:ext cx="4318000" cy="931332"/>
              <a:chOff x="28532667" y="6413500"/>
              <a:chExt cx="3989915" cy="1291166"/>
            </a:xfrm>
            <a:grpFill/>
          </xdr:grpSpPr>
          <xdr:sp macro="" textlink="">
            <xdr:nvSpPr>
              <xdr:cNvPr id="22" name="TextBox 21"/>
              <xdr:cNvSpPr txBox="1"/>
            </xdr:nvSpPr>
            <xdr:spPr>
              <a:xfrm>
                <a:off x="28532667" y="6413500"/>
                <a:ext cx="2963333" cy="656166"/>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Target</a:t>
                </a:r>
              </a:p>
            </xdr:txBody>
          </xdr:sp>
          <xdr:sp macro="" textlink="">
            <xdr:nvSpPr>
              <xdr:cNvPr id="23" name="TextBox 22"/>
              <xdr:cNvSpPr txBox="1"/>
            </xdr:nvSpPr>
            <xdr:spPr>
              <a:xfrm>
                <a:off x="28532667" y="7090834"/>
                <a:ext cx="2963333" cy="592667"/>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ACH</a:t>
                </a:r>
              </a:p>
            </xdr:txBody>
          </xdr:sp>
          <xdr:sp macro="" textlink="Sheet2!AR2">
            <xdr:nvSpPr>
              <xdr:cNvPr id="24" name="TextBox 23"/>
              <xdr:cNvSpPr txBox="1"/>
            </xdr:nvSpPr>
            <xdr:spPr>
              <a:xfrm>
                <a:off x="29548666" y="6413500"/>
                <a:ext cx="2952750" cy="656166"/>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218BC4B-5391-4D95-AF92-C71496CEC3AC}" type="TxLink">
                  <a:rPr lang="en-US" sz="1800" b="1">
                    <a:solidFill>
                      <a:schemeClr val="bg1"/>
                    </a:solidFill>
                    <a:latin typeface="+mn-lt"/>
                    <a:ea typeface="+mn-ea"/>
                    <a:cs typeface="+mn-cs"/>
                  </a:rPr>
                  <a:pPr marL="0" indent="0" algn="l"/>
                  <a:t> 15,00,000 </a:t>
                </a:fld>
                <a:endParaRPr lang="en-IN" sz="1800" b="1">
                  <a:solidFill>
                    <a:schemeClr val="bg1"/>
                  </a:solidFill>
                  <a:latin typeface="+mn-lt"/>
                  <a:ea typeface="+mn-ea"/>
                  <a:cs typeface="+mn-cs"/>
                </a:endParaRPr>
              </a:p>
            </xdr:txBody>
          </xdr:sp>
          <xdr:sp macro="" textlink="Sheet2!AR16">
            <xdr:nvSpPr>
              <xdr:cNvPr id="25" name="TextBox 24"/>
              <xdr:cNvSpPr txBox="1"/>
            </xdr:nvSpPr>
            <xdr:spPr>
              <a:xfrm>
                <a:off x="29569833" y="7048500"/>
                <a:ext cx="2952749" cy="656166"/>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8E51D97-69C8-4576-A117-2593C0AA0353}" type="TxLink">
                  <a:rPr lang="en-US" sz="1800" b="1">
                    <a:solidFill>
                      <a:schemeClr val="bg1"/>
                    </a:solidFill>
                    <a:latin typeface="+mn-lt"/>
                    <a:ea typeface="+mn-ea"/>
                    <a:cs typeface="+mn-cs"/>
                  </a:rPr>
                  <a:pPr marL="0" indent="0" algn="l"/>
                  <a:t> 20,01,791 </a:t>
                </a:fld>
                <a:endParaRPr lang="en-IN" sz="1800" b="1">
                  <a:solidFill>
                    <a:schemeClr val="bg1"/>
                  </a:solidFill>
                  <a:latin typeface="+mn-lt"/>
                  <a:ea typeface="+mn-ea"/>
                  <a:cs typeface="+mn-cs"/>
                </a:endParaRPr>
              </a:p>
            </xdr:txBody>
          </xdr:sp>
        </xdr:grp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63500</xdr:rowOff>
    </xdr:from>
    <xdr:to>
      <xdr:col>50</xdr:col>
      <xdr:colOff>275167</xdr:colOff>
      <xdr:row>65</xdr:row>
      <xdr:rowOff>132292</xdr:rowOff>
    </xdr:to>
    <xdr:grpSp>
      <xdr:nvGrpSpPr>
        <xdr:cNvPr id="21" name="Group 20"/>
        <xdr:cNvGrpSpPr/>
      </xdr:nvGrpSpPr>
      <xdr:grpSpPr>
        <a:xfrm>
          <a:off x="0" y="254000"/>
          <a:ext cx="30331834" cy="12578292"/>
          <a:chOff x="0" y="0"/>
          <a:chExt cx="30331833" cy="12573000"/>
        </a:xfrm>
      </xdr:grpSpPr>
      <xdr:pic>
        <xdr:nvPicPr>
          <xdr:cNvPr id="4" name="Picture 3"/>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300000"/>
                    </a14:imgEffect>
                    <a14:imgEffect>
                      <a14:brightnessContrast bright="20000"/>
                    </a14:imgEffect>
                  </a14:imgLayer>
                </a14:imgProps>
              </a:ext>
              <a:ext uri="{28A0092B-C50C-407E-A947-70E740481C1C}">
                <a14:useLocalDpi xmlns:a14="http://schemas.microsoft.com/office/drawing/2010/main" val="0"/>
              </a:ext>
            </a:extLst>
          </a:blip>
          <a:stretch>
            <a:fillRect/>
          </a:stretch>
        </xdr:blipFill>
        <xdr:spPr>
          <a:xfrm>
            <a:off x="0" y="0"/>
            <a:ext cx="30331833" cy="12573000"/>
          </a:xfrm>
          <a:prstGeom prst="rect">
            <a:avLst/>
          </a:prstGeom>
          <a:ln>
            <a:noFill/>
          </a:ln>
          <a:effectLst>
            <a:outerShdw blurRad="292100" dist="139700" dir="2700000" algn="tl" rotWithShape="0">
              <a:srgbClr val="333333">
                <a:alpha val="65000"/>
              </a:srgbClr>
            </a:outerShdw>
          </a:effectLst>
        </xdr:spPr>
      </xdr:pic>
      <xdr:sp macro="" textlink="">
        <xdr:nvSpPr>
          <xdr:cNvPr id="17" name="Rectangle 16"/>
          <xdr:cNvSpPr/>
        </xdr:nvSpPr>
        <xdr:spPr>
          <a:xfrm>
            <a:off x="12467165" y="372534"/>
            <a:ext cx="6053666" cy="622300"/>
          </a:xfrm>
          <a:prstGeom prst="rect">
            <a:avLst/>
          </a:prstGeom>
          <a:noFill/>
        </xdr:spPr>
        <xdr:style>
          <a:lnRef idx="1">
            <a:schemeClr val="accent5"/>
          </a:lnRef>
          <a:fillRef idx="2">
            <a:schemeClr val="accent5"/>
          </a:fillRef>
          <a:effectRef idx="1">
            <a:schemeClr val="accent5"/>
          </a:effectRef>
          <a:fontRef idx="minor">
            <a:schemeClr val="dk1"/>
          </a:fontRef>
        </xdr:style>
        <xdr:txBody>
          <a:bodyPr wrap="square" lIns="91440" tIns="45720" rIns="91440" bIns="45720">
            <a:noAutofit/>
          </a:bodyPr>
          <a:lstStyle/>
          <a:p>
            <a:pPr algn="l"/>
            <a:r>
              <a:rPr lang="en-US" sz="3200" b="1" cap="none" spc="0">
                <a:ln w="12700">
                  <a:solidFill>
                    <a:schemeClr val="accent5"/>
                  </a:solidFill>
                  <a:prstDash val="solid"/>
                </a:ln>
                <a:pattFill prst="ltDnDiag">
                  <a:fgClr>
                    <a:schemeClr val="accent5">
                      <a:lumMod val="60000"/>
                      <a:lumOff val="40000"/>
                    </a:schemeClr>
                  </a:fgClr>
                  <a:bgClr>
                    <a:schemeClr val="bg1"/>
                  </a:bgClr>
                </a:pattFill>
                <a:effectLst/>
              </a:rPr>
              <a:t>Sales Analysis Dashboard</a:t>
            </a:r>
          </a:p>
        </xdr:txBody>
      </xdr:sp>
      <xdr:graphicFrame macro="">
        <xdr:nvGraphicFramePr>
          <xdr:cNvPr id="9" name="Chart 8"/>
          <xdr:cNvGraphicFramePr>
            <a:graphicFrameLocks/>
          </xdr:cNvGraphicFramePr>
        </xdr:nvGraphicFramePr>
        <xdr:xfrm>
          <a:off x="26437166" y="1121834"/>
          <a:ext cx="3291415" cy="726016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3" name="Chart 12"/>
          <xdr:cNvGraphicFramePr>
            <a:graphicFrameLocks/>
          </xdr:cNvGraphicFramePr>
        </xdr:nvGraphicFramePr>
        <xdr:xfrm>
          <a:off x="423334" y="5926667"/>
          <a:ext cx="6815666" cy="264583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5" name="Chart 14"/>
          <xdr:cNvGraphicFramePr>
            <a:graphicFrameLocks/>
          </xdr:cNvGraphicFramePr>
        </xdr:nvGraphicFramePr>
        <xdr:xfrm>
          <a:off x="14308668" y="4728634"/>
          <a:ext cx="5947831" cy="3801533"/>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6" name="Chart 15"/>
          <xdr:cNvGraphicFramePr>
            <a:graphicFrameLocks/>
          </xdr:cNvGraphicFramePr>
        </xdr:nvGraphicFramePr>
        <xdr:xfrm>
          <a:off x="20568708" y="4672542"/>
          <a:ext cx="5524500" cy="385762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9" name="Chart 18"/>
          <xdr:cNvGraphicFramePr>
            <a:graphicFrameLocks/>
          </xdr:cNvGraphicFramePr>
        </xdr:nvGraphicFramePr>
        <xdr:xfrm>
          <a:off x="14224001" y="1206500"/>
          <a:ext cx="6000748" cy="3328459"/>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2" name="Chart 21"/>
          <xdr:cNvGraphicFramePr>
            <a:graphicFrameLocks/>
          </xdr:cNvGraphicFramePr>
        </xdr:nvGraphicFramePr>
        <xdr:xfrm>
          <a:off x="20531665" y="1164168"/>
          <a:ext cx="5609167" cy="3332692"/>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6" name="TextBox 25"/>
          <xdr:cNvSpPr txBox="1"/>
        </xdr:nvSpPr>
        <xdr:spPr>
          <a:xfrm>
            <a:off x="407457" y="1164167"/>
            <a:ext cx="6863292" cy="4503208"/>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i="1">
                <a:solidFill>
                  <a:schemeClr val="bg1"/>
                </a:solidFill>
              </a:rPr>
              <a:t>Filters</a:t>
            </a:r>
          </a:p>
        </xdr:txBody>
      </xdr:sp>
      <mc:AlternateContent xmlns:mc="http://schemas.openxmlformats.org/markup-compatibility/2006">
        <mc:Choice xmlns:a14="http://schemas.microsoft.com/office/drawing/2010/main" Requires="a14">
          <xdr:graphicFrame macro="">
            <xdr:nvGraphicFramePr>
              <xdr:cNvPr id="24" name="Bank"/>
              <xdr:cNvGraphicFramePr/>
            </xdr:nvGraphicFramePr>
            <xdr:xfrm>
              <a:off x="4203698" y="3361267"/>
              <a:ext cx="1389592" cy="2004483"/>
            </xdr:xfrm>
            <a:graphic>
              <a:graphicData uri="http://schemas.microsoft.com/office/drawing/2010/slicer">
                <sle:slicer xmlns:sle="http://schemas.microsoft.com/office/drawing/2010/slicer" name="Bank"/>
              </a:graphicData>
            </a:graphic>
          </xdr:graphicFrame>
        </mc:Choice>
        <mc:Fallback>
          <xdr:sp macro="" textlink="">
            <xdr:nvSpPr>
              <xdr:cNvPr id="0" name=""/>
              <xdr:cNvSpPr>
                <a:spLocks noTextEdit="1"/>
              </xdr:cNvSpPr>
            </xdr:nvSpPr>
            <xdr:spPr>
              <a:xfrm>
                <a:off x="4203698" y="3616682"/>
                <a:ext cx="1389592" cy="2005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3" name="Region"/>
              <xdr:cNvGraphicFramePr/>
            </xdr:nvGraphicFramePr>
            <xdr:xfrm>
              <a:off x="2150533" y="3361267"/>
              <a:ext cx="1860550" cy="1972733"/>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50533" y="3616682"/>
                <a:ext cx="1860550" cy="1973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 name="Sales men"/>
              <xdr:cNvGraphicFramePr/>
            </xdr:nvGraphicFramePr>
            <xdr:xfrm>
              <a:off x="5881157" y="1762125"/>
              <a:ext cx="1294342" cy="2926292"/>
            </xdr:xfrm>
            <a:graphic>
              <a:graphicData uri="http://schemas.microsoft.com/office/drawing/2010/slicer">
                <sle:slicer xmlns:sle="http://schemas.microsoft.com/office/drawing/2010/slicer" name="Sales men"/>
              </a:graphicData>
            </a:graphic>
          </xdr:graphicFrame>
        </mc:Choice>
        <mc:Fallback>
          <xdr:sp macro="" textlink="">
            <xdr:nvSpPr>
              <xdr:cNvPr id="0" name=""/>
              <xdr:cNvSpPr>
                <a:spLocks noTextEdit="1"/>
              </xdr:cNvSpPr>
            </xdr:nvSpPr>
            <xdr:spPr>
              <a:xfrm>
                <a:off x="5881157" y="2016867"/>
                <a:ext cx="1294342" cy="2927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Product"/>
              <xdr:cNvGraphicFramePr/>
            </xdr:nvGraphicFramePr>
            <xdr:xfrm>
              <a:off x="509058" y="3342217"/>
              <a:ext cx="1453092" cy="2283883"/>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09058" y="3597624"/>
                <a:ext cx="1453092" cy="2284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States"/>
              <xdr:cNvGraphicFramePr/>
            </xdr:nvGraphicFramePr>
            <xdr:xfrm>
              <a:off x="502708" y="1805517"/>
              <a:ext cx="5254625" cy="1470025"/>
            </xdr:xfrm>
            <a:graphic>
              <a:graphicData uri="http://schemas.microsoft.com/office/drawing/2010/slicer">
                <sle:slicer xmlns:sle="http://schemas.microsoft.com/office/drawing/2010/slicer" name="States"/>
              </a:graphicData>
            </a:graphic>
          </xdr:graphicFrame>
        </mc:Choice>
        <mc:Fallback>
          <xdr:sp macro="" textlink="">
            <xdr:nvSpPr>
              <xdr:cNvPr id="0" name=""/>
              <xdr:cNvSpPr>
                <a:spLocks noTextEdit="1"/>
              </xdr:cNvSpPr>
            </xdr:nvSpPr>
            <xdr:spPr>
              <a:xfrm>
                <a:off x="502708" y="2060277"/>
                <a:ext cx="5254625" cy="1470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4" name="Chart 13"/>
          <xdr:cNvGraphicFramePr>
            <a:graphicFrameLocks/>
          </xdr:cNvGraphicFramePr>
        </xdr:nvGraphicFramePr>
        <xdr:xfrm>
          <a:off x="7582958" y="1143000"/>
          <a:ext cx="6365876" cy="33655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20" name="Chart 19"/>
          <xdr:cNvGraphicFramePr>
            <a:graphicFrameLocks/>
          </xdr:cNvGraphicFramePr>
        </xdr:nvGraphicFramePr>
        <xdr:xfrm>
          <a:off x="508000" y="8847667"/>
          <a:ext cx="24235835" cy="3185582"/>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11" name="Group 10"/>
          <xdr:cNvGrpSpPr/>
        </xdr:nvGrpSpPr>
        <xdr:grpSpPr>
          <a:xfrm>
            <a:off x="25082502" y="8826501"/>
            <a:ext cx="4740907" cy="3323167"/>
            <a:chOff x="22076833" y="8657167"/>
            <a:chExt cx="4423409" cy="3323167"/>
          </a:xfrm>
          <a:solidFill>
            <a:srgbClr val="001C64"/>
          </a:solidFill>
        </xdr:grpSpPr>
        <xdr:grpSp>
          <xdr:nvGrpSpPr>
            <xdr:cNvPr id="3" name="Group 2"/>
            <xdr:cNvGrpSpPr/>
          </xdr:nvGrpSpPr>
          <xdr:grpSpPr>
            <a:xfrm>
              <a:off x="22076834" y="9694333"/>
              <a:ext cx="4423408" cy="2286001"/>
              <a:chOff x="27940000" y="846667"/>
              <a:chExt cx="4423408" cy="2862842"/>
            </a:xfrm>
            <a:grpFill/>
          </xdr:grpSpPr>
          <xdr:sp macro="" textlink="">
            <xdr:nvSpPr>
              <xdr:cNvPr id="2" name="TextBox 1"/>
              <xdr:cNvSpPr txBox="1"/>
            </xdr:nvSpPr>
            <xdr:spPr>
              <a:xfrm>
                <a:off x="27940001" y="846667"/>
                <a:ext cx="1935411" cy="662694"/>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bg1"/>
                    </a:solidFill>
                  </a:rPr>
                  <a:t>🏆 Top Salesman</a:t>
                </a:r>
              </a:p>
            </xdr:txBody>
          </xdr:sp>
          <xdr:sp macro="" textlink="">
            <xdr:nvSpPr>
              <xdr:cNvPr id="28" name="TextBox 27"/>
              <xdr:cNvSpPr txBox="1"/>
            </xdr:nvSpPr>
            <xdr:spPr>
              <a:xfrm>
                <a:off x="27961166" y="1566333"/>
                <a:ext cx="1973494" cy="711754"/>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800" b="1">
                    <a:solidFill>
                      <a:schemeClr val="bg1"/>
                    </a:solidFill>
                    <a:latin typeface="+mn-lt"/>
                    <a:ea typeface="+mn-ea"/>
                    <a:cs typeface="+mn-cs"/>
                  </a:rPr>
                  <a:t>🏆 Top Bank</a:t>
                </a:r>
              </a:p>
            </xdr:txBody>
          </xdr:sp>
          <xdr:sp macro="" textlink="">
            <xdr:nvSpPr>
              <xdr:cNvPr id="29" name="TextBox 28"/>
              <xdr:cNvSpPr txBox="1"/>
            </xdr:nvSpPr>
            <xdr:spPr>
              <a:xfrm>
                <a:off x="27940001" y="2328333"/>
                <a:ext cx="1974911" cy="612449"/>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bg1"/>
                    </a:solidFill>
                  </a:rPr>
                  <a:t>🏆 Top Region</a:t>
                </a:r>
              </a:p>
            </xdr:txBody>
          </xdr:sp>
          <xdr:sp macro="" textlink="">
            <xdr:nvSpPr>
              <xdr:cNvPr id="30" name="TextBox 29"/>
              <xdr:cNvSpPr txBox="1"/>
            </xdr:nvSpPr>
            <xdr:spPr>
              <a:xfrm>
                <a:off x="27940000" y="3026835"/>
                <a:ext cx="1955163" cy="682674"/>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800" b="1">
                    <a:solidFill>
                      <a:schemeClr val="bg1"/>
                    </a:solidFill>
                    <a:latin typeface="+mn-lt"/>
                    <a:ea typeface="+mn-ea"/>
                    <a:cs typeface="+mn-cs"/>
                  </a:rPr>
                  <a:t>🏆 Top Product</a:t>
                </a:r>
              </a:p>
            </xdr:txBody>
          </xdr:sp>
          <xdr:sp macro="" textlink="Sheet2!AI16">
            <xdr:nvSpPr>
              <xdr:cNvPr id="32" name="TextBox 31"/>
              <xdr:cNvSpPr txBox="1"/>
            </xdr:nvSpPr>
            <xdr:spPr>
              <a:xfrm>
                <a:off x="29882041" y="873126"/>
                <a:ext cx="2392155" cy="587374"/>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799FA66-3812-4856-B498-055AC663B213}" type="TxLink">
                  <a:rPr lang="en-US" sz="1800" b="1">
                    <a:solidFill>
                      <a:schemeClr val="bg1"/>
                    </a:solidFill>
                    <a:latin typeface="+mn-lt"/>
                    <a:ea typeface="+mn-ea"/>
                    <a:cs typeface="+mn-cs"/>
                  </a:rPr>
                  <a:pPr marL="0" indent="0" algn="l"/>
                  <a:t>Santosh</a:t>
                </a:fld>
                <a:endParaRPr lang="en-IN" sz="1800" b="1">
                  <a:solidFill>
                    <a:schemeClr val="bg1"/>
                  </a:solidFill>
                  <a:latin typeface="+mn-lt"/>
                  <a:ea typeface="+mn-ea"/>
                  <a:cs typeface="+mn-cs"/>
                </a:endParaRPr>
              </a:p>
            </xdr:txBody>
          </xdr:sp>
          <xdr:sp macro="" textlink="Sheet2!AO16">
            <xdr:nvSpPr>
              <xdr:cNvPr id="33" name="TextBox 32"/>
              <xdr:cNvSpPr txBox="1"/>
            </xdr:nvSpPr>
            <xdr:spPr>
              <a:xfrm>
                <a:off x="29908500" y="1587499"/>
                <a:ext cx="2388663" cy="592668"/>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5902B9D-BB9F-4ADF-B040-5B75D2B28FE1}" type="TxLink">
                  <a:rPr lang="en-US" sz="1800" b="1">
                    <a:solidFill>
                      <a:schemeClr val="bg1"/>
                    </a:solidFill>
                    <a:latin typeface="+mn-lt"/>
                    <a:ea typeface="+mn-ea"/>
                    <a:cs typeface="+mn-cs"/>
                  </a:rPr>
                  <a:pPr marL="0" indent="0" algn="l"/>
                  <a:t>HDFC </a:t>
                </a:fld>
                <a:endParaRPr lang="en-IN" sz="1800" b="1">
                  <a:solidFill>
                    <a:schemeClr val="bg1"/>
                  </a:solidFill>
                  <a:latin typeface="+mn-lt"/>
                  <a:ea typeface="+mn-ea"/>
                  <a:cs typeface="+mn-cs"/>
                </a:endParaRPr>
              </a:p>
            </xdr:txBody>
          </xdr:sp>
          <xdr:sp macro="" textlink="Sheet2!AL16">
            <xdr:nvSpPr>
              <xdr:cNvPr id="34" name="TextBox 33"/>
              <xdr:cNvSpPr txBox="1"/>
            </xdr:nvSpPr>
            <xdr:spPr>
              <a:xfrm>
                <a:off x="29919080" y="2364312"/>
                <a:ext cx="2423587" cy="620188"/>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AF7920-25BC-4D0E-A9E4-289670FF2102}" type="TxLink">
                  <a:rPr lang="en-US" sz="1800" b="1">
                    <a:solidFill>
                      <a:schemeClr val="bg1"/>
                    </a:solidFill>
                    <a:latin typeface="+mn-lt"/>
                    <a:ea typeface="+mn-ea"/>
                    <a:cs typeface="+mn-cs"/>
                  </a:rPr>
                  <a:pPr marL="0" indent="0" algn="l"/>
                  <a:t>South </a:t>
                </a:fld>
                <a:endParaRPr lang="en-IN" sz="1800" b="1">
                  <a:solidFill>
                    <a:schemeClr val="bg1"/>
                  </a:solidFill>
                  <a:latin typeface="+mn-lt"/>
                  <a:ea typeface="+mn-ea"/>
                  <a:cs typeface="+mn-cs"/>
                </a:endParaRPr>
              </a:p>
            </xdr:txBody>
          </xdr:sp>
          <xdr:sp macro="" textlink="Sheet2!AF16">
            <xdr:nvSpPr>
              <xdr:cNvPr id="35" name="TextBox 34"/>
              <xdr:cNvSpPr txBox="1"/>
            </xdr:nvSpPr>
            <xdr:spPr>
              <a:xfrm>
                <a:off x="29897917" y="3069167"/>
                <a:ext cx="2465491" cy="613833"/>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B91C466-02F0-4E7E-BC66-29113A696E65}" type="TxLink">
                  <a:rPr lang="en-US" sz="1800" b="1">
                    <a:solidFill>
                      <a:schemeClr val="bg1"/>
                    </a:solidFill>
                    <a:latin typeface="+mn-lt"/>
                    <a:ea typeface="+mn-ea"/>
                    <a:cs typeface="+mn-cs"/>
                  </a:rPr>
                  <a:pPr marL="0" indent="0" algn="l"/>
                  <a:t>Home Loan </a:t>
                </a:fld>
                <a:endParaRPr lang="en-IN" sz="1800" b="1">
                  <a:solidFill>
                    <a:schemeClr val="bg1"/>
                  </a:solidFill>
                  <a:latin typeface="+mn-lt"/>
                  <a:ea typeface="+mn-ea"/>
                  <a:cs typeface="+mn-cs"/>
                </a:endParaRPr>
              </a:p>
            </xdr:txBody>
          </xdr:sp>
        </xdr:grpSp>
        <xdr:grpSp>
          <xdr:nvGrpSpPr>
            <xdr:cNvPr id="10" name="Group 9"/>
            <xdr:cNvGrpSpPr/>
          </xdr:nvGrpSpPr>
          <xdr:grpSpPr>
            <a:xfrm>
              <a:off x="22076833" y="8657167"/>
              <a:ext cx="4318000" cy="931332"/>
              <a:chOff x="28532667" y="6413500"/>
              <a:chExt cx="3989915" cy="1291166"/>
            </a:xfrm>
            <a:grpFill/>
          </xdr:grpSpPr>
          <xdr:sp macro="" textlink="">
            <xdr:nvSpPr>
              <xdr:cNvPr id="25" name="TextBox 24"/>
              <xdr:cNvSpPr txBox="1"/>
            </xdr:nvSpPr>
            <xdr:spPr>
              <a:xfrm>
                <a:off x="28532667" y="6413500"/>
                <a:ext cx="1040168" cy="586893"/>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Target</a:t>
                </a:r>
              </a:p>
            </xdr:txBody>
          </xdr:sp>
          <xdr:sp macro="" textlink="">
            <xdr:nvSpPr>
              <xdr:cNvPr id="27" name="TextBox 26"/>
              <xdr:cNvSpPr txBox="1"/>
            </xdr:nvSpPr>
            <xdr:spPr>
              <a:xfrm>
                <a:off x="28532667" y="7090834"/>
                <a:ext cx="1058416" cy="613832"/>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ACH</a:t>
                </a:r>
              </a:p>
            </xdr:txBody>
          </xdr:sp>
          <xdr:sp macro="" textlink="Sheet2!AR2">
            <xdr:nvSpPr>
              <xdr:cNvPr id="36" name="TextBox 35"/>
              <xdr:cNvSpPr txBox="1"/>
            </xdr:nvSpPr>
            <xdr:spPr>
              <a:xfrm>
                <a:off x="29548666" y="6413500"/>
                <a:ext cx="2952750" cy="656166"/>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218BC4B-5391-4D95-AF92-C71496CEC3AC}" type="TxLink">
                  <a:rPr lang="en-US" sz="1800" b="1">
                    <a:solidFill>
                      <a:schemeClr val="bg1"/>
                    </a:solidFill>
                    <a:latin typeface="+mn-lt"/>
                    <a:ea typeface="+mn-ea"/>
                    <a:cs typeface="+mn-cs"/>
                  </a:rPr>
                  <a:pPr marL="0" indent="0" algn="l"/>
                  <a:t> 15,00,000 </a:t>
                </a:fld>
                <a:endParaRPr lang="en-IN" sz="1800" b="1">
                  <a:solidFill>
                    <a:schemeClr val="bg1"/>
                  </a:solidFill>
                  <a:latin typeface="+mn-lt"/>
                  <a:ea typeface="+mn-ea"/>
                  <a:cs typeface="+mn-cs"/>
                </a:endParaRPr>
              </a:p>
            </xdr:txBody>
          </xdr:sp>
          <xdr:sp macro="" textlink="Sheet2!AR16">
            <xdr:nvSpPr>
              <xdr:cNvPr id="37" name="TextBox 36"/>
              <xdr:cNvSpPr txBox="1"/>
            </xdr:nvSpPr>
            <xdr:spPr>
              <a:xfrm>
                <a:off x="29569833" y="7048500"/>
                <a:ext cx="2952749" cy="656166"/>
              </a:xfrm>
              <a:prstGeom prst="rect">
                <a:avLst/>
              </a:prstGeom>
              <a:gr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8E51D97-69C8-4576-A117-2593C0AA0353}" type="TxLink">
                  <a:rPr lang="en-US" sz="1800" b="1">
                    <a:solidFill>
                      <a:schemeClr val="bg1"/>
                    </a:solidFill>
                    <a:latin typeface="+mn-lt"/>
                    <a:ea typeface="+mn-ea"/>
                    <a:cs typeface="+mn-cs"/>
                  </a:rPr>
                  <a:pPr marL="0" indent="0" algn="l"/>
                  <a:t> 20,01,791 </a:t>
                </a:fld>
                <a:endParaRPr lang="en-IN" sz="1800" b="1">
                  <a:solidFill>
                    <a:schemeClr val="bg1"/>
                  </a:solidFill>
                  <a:latin typeface="+mn-lt"/>
                  <a:ea typeface="+mn-ea"/>
                  <a:cs typeface="+mn-cs"/>
                </a:endParaRPr>
              </a:p>
            </xdr:txBody>
          </xdr:sp>
        </xdr:grpSp>
      </xdr:grpSp>
      <xdr:graphicFrame macro="">
        <xdr:nvGraphicFramePr>
          <xdr:cNvPr id="38" name="Chart 37"/>
          <xdr:cNvGraphicFramePr>
            <a:graphicFrameLocks/>
          </xdr:cNvGraphicFramePr>
        </xdr:nvGraphicFramePr>
        <xdr:xfrm>
          <a:off x="7524749" y="4783667"/>
          <a:ext cx="6402918" cy="3693583"/>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187.369724421296" createdVersion="5" refreshedVersion="5" minRefreshableVersion="3" recordCount="410">
  <cacheSource type="worksheet">
    <worksheetSource name="Table2"/>
  </cacheSource>
  <cacheFields count="8">
    <cacheField name="Product" numFmtId="0">
      <sharedItems count="7">
        <s v="Auto Loan "/>
        <s v="Personal Loan "/>
        <s v="Home Loan "/>
        <s v="Business Loan "/>
        <s v="LAP"/>
        <s v="TW"/>
        <s v="Used Car Loan  "/>
      </sharedItems>
    </cacheField>
    <cacheField name="Sales men" numFmtId="0">
      <sharedItems count="9">
        <s v="Vikas"/>
        <s v="Mohan"/>
        <s v="Dev"/>
        <s v="Amit"/>
        <s v="Ankit"/>
        <s v="Santosh"/>
        <s v="Sunil"/>
        <s v="Rohan"/>
        <s v="Alok"/>
      </sharedItems>
    </cacheField>
    <cacheField name="Loans" numFmtId="165">
      <sharedItems containsSemiMixedTypes="0" containsString="0" containsNumber="1" containsInteger="1" minValue="107" maxValue="10000" count="199">
        <n v="4270"/>
        <n v="8239"/>
        <n v="617"/>
        <n v="8384"/>
        <n v="2626"/>
        <n v="3610"/>
        <n v="9062"/>
        <n v="2417"/>
        <n v="7431"/>
        <n v="8250"/>
        <n v="7012"/>
        <n v="1903"/>
        <n v="2824"/>
        <n v="6946"/>
        <n v="2320"/>
        <n v="2116"/>
        <n v="1135"/>
        <n v="3595"/>
        <n v="1161"/>
        <n v="2256"/>
        <n v="3642"/>
        <n v="4582"/>
        <n v="3559"/>
        <n v="5154"/>
        <n v="7388"/>
        <n v="7163"/>
        <n v="5101"/>
        <n v="7602"/>
        <n v="1641"/>
        <n v="8892"/>
        <n v="2060"/>
        <n v="1557"/>
        <n v="6509"/>
        <n v="5718"/>
        <n v="7655"/>
        <n v="9116"/>
        <n v="2795"/>
        <n v="5084"/>
        <n v="8941"/>
        <n v="5341"/>
        <n v="135"/>
        <n v="9400"/>
        <n v="6045"/>
        <n v="8887"/>
        <n v="6982"/>
        <n v="4029"/>
        <n v="3665"/>
        <n v="4781"/>
        <n v="3663"/>
        <n v="6331"/>
        <n v="4364"/>
        <n v="607"/>
        <n v="7659"/>
        <n v="277"/>
        <n v="235"/>
        <n v="1113"/>
        <n v="1128"/>
        <n v="9231"/>
        <n v="4387"/>
        <n v="2763"/>
        <n v="7898"/>
        <n v="2427"/>
        <n v="2789"/>
        <n v="4054"/>
        <n v="2262"/>
        <n v="5600"/>
        <n v="5787"/>
        <n v="6295"/>
        <n v="474"/>
        <n v="10000"/>
        <n v="592"/>
        <n v="4330"/>
        <n v="9405"/>
        <n v="7671"/>
        <n v="5791"/>
        <n v="6007"/>
        <n v="5030"/>
        <n v="6763"/>
        <n v="4248"/>
        <n v="9543"/>
        <n v="2054"/>
        <n v="7094"/>
        <n v="6087"/>
        <n v="4264"/>
        <n v="9333"/>
        <n v="8775"/>
        <n v="2011"/>
        <n v="5632"/>
        <n v="1002"/>
        <n v="8141"/>
        <n v="3644"/>
        <n v="1380"/>
        <n v="8354"/>
        <n v="5182"/>
        <n v="2193"/>
        <n v="3647"/>
        <n v="4104"/>
        <n v="7457"/>
        <n v="3767"/>
        <n v="4685"/>
        <n v="3917"/>
        <n v="521"/>
        <n v="5605"/>
        <n v="9630"/>
        <n v="6941"/>
        <n v="7231"/>
        <n v="8891"/>
        <n v="107"/>
        <n v="4243"/>
        <n v="4514"/>
        <n v="5480"/>
        <n v="5002"/>
        <n v="8530"/>
        <n v="6343"/>
        <n v="2318"/>
        <n v="220"/>
        <n v="330"/>
        <n v="3027"/>
        <n v="8986"/>
        <n v="3800"/>
        <n v="5751"/>
        <n v="1704"/>
        <n v="7966"/>
        <n v="852"/>
        <n v="8416"/>
        <n v="7144"/>
        <n v="7854"/>
        <n v="859"/>
        <n v="8049"/>
        <n v="2836"/>
        <n v="1743"/>
        <n v="3844"/>
        <n v="7490"/>
        <n v="4483"/>
        <n v="7333"/>
        <n v="7654"/>
        <n v="3944"/>
        <n v="5761"/>
        <n v="4016"/>
        <n v="1841"/>
        <n v="424"/>
        <n v="8765"/>
        <n v="5583"/>
        <n v="352"/>
        <n v="8489"/>
        <n v="7090"/>
        <n v="3861"/>
        <n v="7927"/>
        <n v="6162"/>
        <n v="5523"/>
        <n v="5936"/>
        <n v="7251"/>
        <n v="6187"/>
        <n v="3210"/>
        <n v="682"/>
        <n v="793"/>
        <n v="5346"/>
        <n v="4603"/>
        <n v="8160"/>
        <n v="7171"/>
        <n v="7273"/>
        <n v="2402"/>
        <n v="1197"/>
        <n v="5015"/>
        <n v="5818"/>
        <n v="4399"/>
        <n v="3011"/>
        <n v="4715"/>
        <n v="5321"/>
        <n v="8894"/>
        <n v="4846"/>
        <n v="284"/>
        <n v="8283"/>
        <n v="9990"/>
        <n v="9014"/>
        <n v="1942"/>
        <n v="7223"/>
        <n v="4673"/>
        <n v="9104"/>
        <n v="6078"/>
        <n v="3278"/>
        <n v="136"/>
        <n v="8377"/>
        <n v="2382"/>
        <n v="8702"/>
        <n v="5021"/>
        <n v="6000"/>
        <n v="9000"/>
        <n v="1541"/>
        <n v="2782"/>
        <n v="2455"/>
        <n v="8752"/>
        <n v="9127"/>
        <n v="1777"/>
        <n v="680"/>
        <n v="958"/>
        <n v="2613"/>
        <n v="339"/>
        <n v="1000"/>
      </sharedItems>
    </cacheField>
    <cacheField name="Date" numFmtId="14">
      <sharedItems containsSemiMixedTypes="0" containsNonDate="0" containsDate="1" containsString="0" minDate="2014-01-02T00:00:00" maxDate="2014-12-31T00:00:00" count="151">
        <d v="2014-01-02T00:00:00"/>
        <d v="2014-01-03T00:00:00"/>
        <d v="2014-01-05T00:00:00"/>
        <d v="2014-01-07T00:00:00"/>
        <d v="2014-01-09T00:00:00"/>
        <d v="2014-01-10T00:00:00"/>
        <d v="2014-01-11T00:00:00"/>
        <d v="2014-01-13T00:00:00"/>
        <d v="2014-01-15T00:00:00"/>
        <d v="2014-01-16T00:00:00"/>
        <d v="2014-01-18T00:00:00"/>
        <d v="2014-01-20T00:00:00"/>
        <d v="2014-01-22T00:00:00"/>
        <d v="2014-01-24T00:00:00"/>
        <d v="2014-01-27T00:00:00"/>
        <d v="2014-01-28T00:00:00"/>
        <d v="2014-01-30T00:00:00"/>
        <d v="2014-02-02T00:00:00"/>
        <d v="2014-02-04T00:00:00"/>
        <d v="2014-02-06T00:00:00"/>
        <d v="2014-02-12T00:00:00"/>
        <d v="2014-02-14T00:00:00"/>
        <d v="2014-02-17T00:00:00"/>
        <d v="2014-02-18T00:00:00"/>
        <d v="2014-02-20T00:00:00"/>
        <d v="2014-02-21T00:00:00"/>
        <d v="2014-02-22T00:00:00"/>
        <d v="2014-02-23T00:00:00"/>
        <d v="2014-02-28T00:00:00"/>
        <d v="2014-03-01T00:00:00"/>
        <d v="2014-03-04T00:00:00"/>
        <d v="2014-03-05T00:00:00"/>
        <d v="2014-03-15T00:00:00"/>
        <d v="2014-03-16T00:00:00"/>
        <d v="2014-03-19T00:00:00"/>
        <d v="2014-03-21T00:00:00"/>
        <d v="2014-03-23T00:00:00"/>
        <d v="2014-03-24T00:00:00"/>
        <d v="2014-03-26T00:00:00"/>
        <d v="2014-03-29T00:00:00"/>
        <d v="2014-03-30T00:00:00"/>
        <d v="2014-04-01T00:00:00"/>
        <d v="2014-04-03T00:00:00"/>
        <d v="2014-04-06T00:00:00"/>
        <d v="2014-04-12T00:00:00"/>
        <d v="2014-04-17T00:00:00"/>
        <d v="2014-04-18T00:00:00"/>
        <d v="2014-04-21T00:00:00"/>
        <d v="2014-04-22T00:00:00"/>
        <d v="2014-04-23T00:00:00"/>
        <d v="2014-04-25T00:00:00"/>
        <d v="2014-04-27T00:00:00"/>
        <d v="2014-04-30T00:00:00"/>
        <d v="2014-05-01T00:00:00"/>
        <d v="2014-05-02T00:00:00"/>
        <d v="2014-05-03T00:00:00"/>
        <d v="2014-05-05T00:00:00"/>
        <d v="2014-05-06T00:00:00"/>
        <d v="2014-05-08T00:00:00"/>
        <d v="2014-05-12T00:00:00"/>
        <d v="2014-05-14T00:00:00"/>
        <d v="2014-05-15T00:00:00"/>
        <d v="2014-05-16T00:00:00"/>
        <d v="2014-05-18T00:00:00"/>
        <d v="2014-05-19T00:00:00"/>
        <d v="2014-05-20T00:00:00"/>
        <d v="2014-05-22T00:00:00"/>
        <d v="2014-05-23T00:00:00"/>
        <d v="2014-05-25T00:00:00"/>
        <d v="2014-05-26T00:00:00"/>
        <d v="2014-05-27T00:00:00"/>
        <d v="2014-05-28T00:00:00"/>
        <d v="2014-05-29T00:00:00"/>
        <d v="2014-05-30T00:00:00"/>
        <d v="2014-06-04T00:00:00"/>
        <d v="2014-06-10T00:00:00"/>
        <d v="2014-06-11T00:00:00"/>
        <d v="2014-06-20T00:00:00"/>
        <d v="2014-06-23T00:00:00"/>
        <d v="2014-06-25T00:00:00"/>
        <d v="2014-06-26T00:00:00"/>
        <d v="2014-06-27T00:00:00"/>
        <d v="2014-07-02T00:00:00"/>
        <d v="2014-07-05T00:00:00"/>
        <d v="2014-07-11T00:00:00"/>
        <d v="2014-07-13T00:00:00"/>
        <d v="2014-07-20T00:00:00"/>
        <d v="2014-07-23T00:00:00"/>
        <d v="2014-07-25T00:00:00"/>
        <d v="2014-07-28T00:00:00"/>
        <d v="2014-07-29T00:00:00"/>
        <d v="2014-07-30T00:00:00"/>
        <d v="2014-07-31T00:00:00"/>
        <d v="2014-08-01T00:00:00"/>
        <d v="2014-08-03T00:00:00"/>
        <d v="2014-08-12T00:00:00"/>
        <d v="2014-08-13T00:00:00"/>
        <d v="2014-08-19T00:00:00"/>
        <d v="2014-08-23T00:00:00"/>
        <d v="2014-08-24T00:00:00"/>
        <d v="2014-08-25T00:00:00"/>
        <d v="2014-08-27T00:00:00"/>
        <d v="2014-08-28T00:00:00"/>
        <d v="2014-08-29T00:00:00"/>
        <d v="2014-09-01T00:00:00"/>
        <d v="2014-09-02T00:00:00"/>
        <d v="2014-09-05T00:00:00"/>
        <d v="2014-09-07T00:00:00"/>
        <d v="2014-09-08T00:00:00"/>
        <d v="2014-09-09T00:00:00"/>
        <d v="2014-09-11T00:00:00"/>
        <d v="2014-09-15T00:00:00"/>
        <d v="2014-09-18T00:00:00"/>
        <d v="2014-09-19T00:00:00"/>
        <d v="2014-09-20T00:00:00"/>
        <d v="2014-09-25T00:00:00"/>
        <d v="2014-09-26T00:00:00"/>
        <d v="2014-09-27T00:00:00"/>
        <d v="2014-09-29T00:00:00"/>
        <d v="2014-10-03T00:00:00"/>
        <d v="2014-10-04T00:00:00"/>
        <d v="2014-10-10T00:00:00"/>
        <d v="2014-10-16T00:00:00"/>
        <d v="2014-10-23T00:00:00"/>
        <d v="2014-10-25T00:00:00"/>
        <d v="2014-10-26T00:00:00"/>
        <d v="2014-11-02T00:00:00"/>
        <d v="2014-11-03T00:00:00"/>
        <d v="2014-11-09T00:00:00"/>
        <d v="2014-11-12T00:00:00"/>
        <d v="2014-11-15T00:00:00"/>
        <d v="2014-11-25T00:00:00"/>
        <d v="2014-11-26T00:00:00"/>
        <d v="2014-11-28T00:00:00"/>
        <d v="2014-11-29T00:00:00"/>
        <d v="2014-11-30T00:00:00"/>
        <d v="2014-12-02T00:00:00"/>
        <d v="2014-12-04T00:00:00"/>
        <d v="2014-12-05T00:00:00"/>
        <d v="2014-12-06T00:00:00"/>
        <d v="2014-12-12T00:00:00"/>
        <d v="2014-12-15T00:00:00"/>
        <d v="2014-12-16T00:00:00"/>
        <d v="2014-12-18T00:00:00"/>
        <d v="2014-12-19T00:00:00"/>
        <d v="2014-12-20T00:00:00"/>
        <d v="2014-12-22T00:00:00"/>
        <d v="2014-12-25T00:00:00"/>
        <d v="2014-12-28T00:00:00"/>
        <d v="2014-12-29T00:00:00"/>
        <d v="2014-12-30T00:00:00"/>
      </sharedItems>
    </cacheField>
    <cacheField name="Ship to City" numFmtId="0">
      <sharedItems count="117">
        <s v="Lucknow"/>
        <s v="Jaipur"/>
        <s v="Ghaziabad"/>
        <s v="Nagpur"/>
        <s v="Visakhapatnam"/>
        <s v="Kolkata"/>
        <s v="Vadodara"/>
        <s v="Coimbatore South"/>
        <s v="Bhopal"/>
        <s v="Chennai"/>
        <s v="Saltlake"/>
        <s v="Bangalore"/>
        <s v="Bangalore North"/>
        <s v="Thane"/>
        <s v="Pune City"/>
        <s v="Jorhat"/>
        <s v="Mangalore"/>
        <s v="New Delhi"/>
        <s v="North 24 Paraganas"/>
        <s v="Ernakulam"/>
        <s v="Kochi"/>
        <s v="Hyderabad"/>
        <s v="Gmc"/>
        <s v="Mumbai"/>
        <s v="Raipur"/>
        <s v="Bargarh"/>
        <s v="Ranchi"/>
        <s v="Sampatchak"/>
        <s v="Dehradun"/>
        <s v="Chandigarh"/>
        <s v="Indore"/>
        <s v="Ahmadabad City"/>
        <s v="Secunderabad"/>
        <s v="Dimapur"/>
        <s v="Vijayawada"/>
        <s v="Bhubaneswar"/>
        <s v="Bediadanga"/>
        <s v="Aurangabad"/>
        <s v="Bhiwandi"/>
        <s v="Vijayawada (Urban)"/>
        <s v="Gurgaon"/>
        <s v="Pollachi"/>
        <s v="Rajkot"/>
        <s v="Aizwal"/>
        <s v="Belgaum"/>
        <s v="Vellore"/>
        <s v="Cuttack Sadar"/>
        <s v="Delhi"/>
        <s v="Gurugram"/>
        <s v="Hisar"/>
        <s v="Sirkali Tk"/>
        <s v="Chennai City Corporation"/>
        <s v="Ambattur"/>
        <s v="Kota"/>
        <s v="Kannur"/>
        <s v="Kurnool"/>
        <s v="Thiruvananthapuram"/>
        <s v="Mysore"/>
        <s v="Bangarapet"/>
        <s v="Hubli"/>
        <s v="Puducherry"/>
        <s v="Goa"/>
        <s v="Haldwani"/>
        <s v="Dibrugarh"/>
        <s v="Alipurduar"/>
        <s v="Alwar"/>
        <s v="Jalandhar - I"/>
        <s v="Krishnagar - I"/>
        <s v="Thalassery"/>
        <s v="Walaja"/>
        <s v="Madurai South"/>
        <s v="Naharlagun"/>
        <s v="Perambur Purasawalkam"/>
        <s v="Kalyan"/>
        <s v="Chennai City"/>
        <s v="Kancheepuram"/>
        <s v="Valsad"/>
        <s v="Tiruchirappalli"/>
        <s v="Berhampore"/>
        <s v="Koyambedu"/>
        <s v="Shimoga"/>
        <s v="Pondicherry"/>
        <s v="Guwahati"/>
        <s v="Hyd"/>
        <s v="Shillong"/>
        <s v="Thrissur"/>
        <s v="Pune"/>
        <s v="Tinsukia"/>
        <s v="Pauri"/>
        <s v="Patna"/>
        <s v="Palayamkottai"/>
        <s v="Vasai"/>
        <s v="Jammu"/>
        <s v="Ajmer"/>
        <s v="Hosakote"/>
        <s v="Srikakulam"/>
        <s v="Kothagudem"/>
        <s v="Kalavad"/>
        <s v="Kottayam"/>
        <s v="Bangalore South"/>
        <s v="Marthandam"/>
        <s v="Jodhpur"/>
        <s v="Agra"/>
        <s v="Barasat - I"/>
        <s v="Siliguri"/>
        <s v="Amravati"/>
        <s v="Tambaram"/>
        <s v="Vapi"/>
        <s v="Nashik"/>
        <s v="Thanesar"/>
        <s v="Surat City"/>
        <s v="Girwa"/>
        <s v="Tumkur"/>
        <s v="Malad East"/>
        <s v="Cooch Behar - I"/>
        <s v="Sadar"/>
        <s v="Birbhum"/>
      </sharedItems>
    </cacheField>
    <cacheField name="States" numFmtId="0">
      <sharedItems count="29">
        <s v="UP"/>
        <s v="RJ"/>
        <s v="MH"/>
        <s v="AP-N"/>
        <s v="WB"/>
        <s v="GJ"/>
        <s v="TN"/>
        <s v="MP"/>
        <s v="KA"/>
        <s v="AS"/>
        <s v="DL"/>
        <s v="KL"/>
        <s v="TS"/>
        <s v="CG"/>
        <s v="OD"/>
        <s v="JH"/>
        <s v="BR"/>
        <s v="UK"/>
        <s v="CH"/>
        <s v="NL"/>
        <s v="HR"/>
        <s v="MZ"/>
        <s v="PY"/>
        <s v="GA"/>
        <s v="PB"/>
        <s v="AR"/>
        <s v="ML"/>
        <s v="JK"/>
        <s v="TR"/>
      </sharedItems>
    </cacheField>
    <cacheField name="Region" numFmtId="0">
      <sharedItems count="6">
        <s v="North "/>
        <s v="West "/>
        <s v="South "/>
        <s v="East "/>
        <s v="Central "/>
        <s v="North East "/>
      </sharedItems>
    </cacheField>
    <cacheField name="Bank" numFmtId="0">
      <sharedItems count="6">
        <s v="HDFC "/>
        <s v="AXIS "/>
        <s v="ICICI"/>
        <s v="IDFC FIRST"/>
        <s v="RBL"/>
        <s v="BANDHAN"/>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10">
  <r>
    <x v="0"/>
    <x v="0"/>
    <x v="0"/>
    <x v="0"/>
    <x v="0"/>
    <x v="0"/>
    <x v="0"/>
    <x v="0"/>
  </r>
  <r>
    <x v="1"/>
    <x v="1"/>
    <x v="1"/>
    <x v="1"/>
    <x v="1"/>
    <x v="1"/>
    <x v="0"/>
    <x v="1"/>
  </r>
  <r>
    <x v="2"/>
    <x v="0"/>
    <x v="2"/>
    <x v="2"/>
    <x v="2"/>
    <x v="0"/>
    <x v="0"/>
    <x v="2"/>
  </r>
  <r>
    <x v="2"/>
    <x v="2"/>
    <x v="3"/>
    <x v="3"/>
    <x v="3"/>
    <x v="2"/>
    <x v="1"/>
    <x v="3"/>
  </r>
  <r>
    <x v="3"/>
    <x v="0"/>
    <x v="4"/>
    <x v="4"/>
    <x v="4"/>
    <x v="3"/>
    <x v="2"/>
    <x v="4"/>
  </r>
  <r>
    <x v="4"/>
    <x v="3"/>
    <x v="5"/>
    <x v="5"/>
    <x v="5"/>
    <x v="4"/>
    <x v="3"/>
    <x v="5"/>
  </r>
  <r>
    <x v="1"/>
    <x v="2"/>
    <x v="6"/>
    <x v="6"/>
    <x v="6"/>
    <x v="5"/>
    <x v="1"/>
    <x v="0"/>
  </r>
  <r>
    <x v="5"/>
    <x v="2"/>
    <x v="7"/>
    <x v="7"/>
    <x v="7"/>
    <x v="6"/>
    <x v="2"/>
    <x v="4"/>
  </r>
  <r>
    <x v="5"/>
    <x v="2"/>
    <x v="8"/>
    <x v="8"/>
    <x v="8"/>
    <x v="7"/>
    <x v="4"/>
    <x v="0"/>
  </r>
  <r>
    <x v="2"/>
    <x v="0"/>
    <x v="9"/>
    <x v="9"/>
    <x v="9"/>
    <x v="6"/>
    <x v="2"/>
    <x v="0"/>
  </r>
  <r>
    <x v="1"/>
    <x v="2"/>
    <x v="10"/>
    <x v="10"/>
    <x v="10"/>
    <x v="4"/>
    <x v="3"/>
    <x v="2"/>
  </r>
  <r>
    <x v="0"/>
    <x v="2"/>
    <x v="11"/>
    <x v="11"/>
    <x v="11"/>
    <x v="8"/>
    <x v="2"/>
    <x v="2"/>
  </r>
  <r>
    <x v="1"/>
    <x v="0"/>
    <x v="12"/>
    <x v="12"/>
    <x v="12"/>
    <x v="8"/>
    <x v="2"/>
    <x v="0"/>
  </r>
  <r>
    <x v="5"/>
    <x v="2"/>
    <x v="13"/>
    <x v="13"/>
    <x v="13"/>
    <x v="2"/>
    <x v="1"/>
    <x v="3"/>
  </r>
  <r>
    <x v="2"/>
    <x v="3"/>
    <x v="14"/>
    <x v="14"/>
    <x v="14"/>
    <x v="2"/>
    <x v="1"/>
    <x v="5"/>
  </r>
  <r>
    <x v="2"/>
    <x v="3"/>
    <x v="15"/>
    <x v="15"/>
    <x v="3"/>
    <x v="2"/>
    <x v="1"/>
    <x v="0"/>
  </r>
  <r>
    <x v="2"/>
    <x v="2"/>
    <x v="16"/>
    <x v="16"/>
    <x v="15"/>
    <x v="9"/>
    <x v="5"/>
    <x v="4"/>
  </r>
  <r>
    <x v="1"/>
    <x v="2"/>
    <x v="17"/>
    <x v="16"/>
    <x v="16"/>
    <x v="8"/>
    <x v="2"/>
    <x v="2"/>
  </r>
  <r>
    <x v="5"/>
    <x v="1"/>
    <x v="18"/>
    <x v="17"/>
    <x v="5"/>
    <x v="4"/>
    <x v="3"/>
    <x v="0"/>
  </r>
  <r>
    <x v="4"/>
    <x v="1"/>
    <x v="19"/>
    <x v="18"/>
    <x v="9"/>
    <x v="6"/>
    <x v="2"/>
    <x v="4"/>
  </r>
  <r>
    <x v="2"/>
    <x v="1"/>
    <x v="20"/>
    <x v="19"/>
    <x v="17"/>
    <x v="10"/>
    <x v="0"/>
    <x v="4"/>
  </r>
  <r>
    <x v="2"/>
    <x v="4"/>
    <x v="21"/>
    <x v="20"/>
    <x v="18"/>
    <x v="4"/>
    <x v="3"/>
    <x v="0"/>
  </r>
  <r>
    <x v="3"/>
    <x v="1"/>
    <x v="22"/>
    <x v="21"/>
    <x v="19"/>
    <x v="11"/>
    <x v="2"/>
    <x v="0"/>
  </r>
  <r>
    <x v="0"/>
    <x v="4"/>
    <x v="23"/>
    <x v="22"/>
    <x v="20"/>
    <x v="11"/>
    <x v="2"/>
    <x v="3"/>
  </r>
  <r>
    <x v="6"/>
    <x v="1"/>
    <x v="24"/>
    <x v="23"/>
    <x v="1"/>
    <x v="1"/>
    <x v="0"/>
    <x v="5"/>
  </r>
  <r>
    <x v="3"/>
    <x v="4"/>
    <x v="25"/>
    <x v="23"/>
    <x v="21"/>
    <x v="12"/>
    <x v="2"/>
    <x v="5"/>
  </r>
  <r>
    <x v="3"/>
    <x v="1"/>
    <x v="26"/>
    <x v="24"/>
    <x v="9"/>
    <x v="6"/>
    <x v="2"/>
    <x v="5"/>
  </r>
  <r>
    <x v="5"/>
    <x v="4"/>
    <x v="27"/>
    <x v="25"/>
    <x v="5"/>
    <x v="4"/>
    <x v="3"/>
    <x v="2"/>
  </r>
  <r>
    <x v="6"/>
    <x v="1"/>
    <x v="28"/>
    <x v="26"/>
    <x v="22"/>
    <x v="9"/>
    <x v="5"/>
    <x v="0"/>
  </r>
  <r>
    <x v="5"/>
    <x v="4"/>
    <x v="29"/>
    <x v="27"/>
    <x v="23"/>
    <x v="2"/>
    <x v="1"/>
    <x v="2"/>
  </r>
  <r>
    <x v="5"/>
    <x v="1"/>
    <x v="30"/>
    <x v="28"/>
    <x v="24"/>
    <x v="13"/>
    <x v="4"/>
    <x v="2"/>
  </r>
  <r>
    <x v="1"/>
    <x v="4"/>
    <x v="31"/>
    <x v="28"/>
    <x v="25"/>
    <x v="14"/>
    <x v="3"/>
    <x v="0"/>
  </r>
  <r>
    <x v="5"/>
    <x v="1"/>
    <x v="32"/>
    <x v="29"/>
    <x v="26"/>
    <x v="15"/>
    <x v="3"/>
    <x v="3"/>
  </r>
  <r>
    <x v="5"/>
    <x v="3"/>
    <x v="33"/>
    <x v="30"/>
    <x v="27"/>
    <x v="16"/>
    <x v="3"/>
    <x v="5"/>
  </r>
  <r>
    <x v="5"/>
    <x v="5"/>
    <x v="34"/>
    <x v="31"/>
    <x v="28"/>
    <x v="17"/>
    <x v="0"/>
    <x v="0"/>
  </r>
  <r>
    <x v="0"/>
    <x v="0"/>
    <x v="35"/>
    <x v="31"/>
    <x v="29"/>
    <x v="18"/>
    <x v="0"/>
    <x v="4"/>
  </r>
  <r>
    <x v="2"/>
    <x v="5"/>
    <x v="36"/>
    <x v="32"/>
    <x v="30"/>
    <x v="7"/>
    <x v="4"/>
    <x v="2"/>
  </r>
  <r>
    <x v="2"/>
    <x v="5"/>
    <x v="37"/>
    <x v="32"/>
    <x v="3"/>
    <x v="2"/>
    <x v="1"/>
    <x v="0"/>
  </r>
  <r>
    <x v="0"/>
    <x v="5"/>
    <x v="38"/>
    <x v="32"/>
    <x v="17"/>
    <x v="10"/>
    <x v="0"/>
    <x v="4"/>
  </r>
  <r>
    <x v="1"/>
    <x v="0"/>
    <x v="39"/>
    <x v="33"/>
    <x v="31"/>
    <x v="5"/>
    <x v="1"/>
    <x v="4"/>
  </r>
  <r>
    <x v="2"/>
    <x v="0"/>
    <x v="40"/>
    <x v="34"/>
    <x v="23"/>
    <x v="2"/>
    <x v="1"/>
    <x v="0"/>
  </r>
  <r>
    <x v="2"/>
    <x v="2"/>
    <x v="41"/>
    <x v="34"/>
    <x v="32"/>
    <x v="12"/>
    <x v="2"/>
    <x v="0"/>
  </r>
  <r>
    <x v="3"/>
    <x v="0"/>
    <x v="42"/>
    <x v="35"/>
    <x v="33"/>
    <x v="19"/>
    <x v="5"/>
    <x v="3"/>
  </r>
  <r>
    <x v="4"/>
    <x v="5"/>
    <x v="43"/>
    <x v="36"/>
    <x v="34"/>
    <x v="3"/>
    <x v="2"/>
    <x v="5"/>
  </r>
  <r>
    <x v="4"/>
    <x v="5"/>
    <x v="44"/>
    <x v="37"/>
    <x v="35"/>
    <x v="14"/>
    <x v="3"/>
    <x v="5"/>
  </r>
  <r>
    <x v="2"/>
    <x v="2"/>
    <x v="45"/>
    <x v="38"/>
    <x v="17"/>
    <x v="10"/>
    <x v="0"/>
    <x v="5"/>
  </r>
  <r>
    <x v="0"/>
    <x v="5"/>
    <x v="46"/>
    <x v="38"/>
    <x v="6"/>
    <x v="5"/>
    <x v="1"/>
    <x v="2"/>
  </r>
  <r>
    <x v="2"/>
    <x v="5"/>
    <x v="47"/>
    <x v="39"/>
    <x v="36"/>
    <x v="4"/>
    <x v="3"/>
    <x v="0"/>
  </r>
  <r>
    <x v="6"/>
    <x v="2"/>
    <x v="48"/>
    <x v="40"/>
    <x v="37"/>
    <x v="2"/>
    <x v="1"/>
    <x v="2"/>
  </r>
  <r>
    <x v="5"/>
    <x v="2"/>
    <x v="49"/>
    <x v="41"/>
    <x v="38"/>
    <x v="2"/>
    <x v="1"/>
    <x v="2"/>
  </r>
  <r>
    <x v="5"/>
    <x v="5"/>
    <x v="50"/>
    <x v="41"/>
    <x v="39"/>
    <x v="3"/>
    <x v="2"/>
    <x v="0"/>
  </r>
  <r>
    <x v="0"/>
    <x v="0"/>
    <x v="51"/>
    <x v="42"/>
    <x v="0"/>
    <x v="0"/>
    <x v="0"/>
    <x v="3"/>
  </r>
  <r>
    <x v="0"/>
    <x v="5"/>
    <x v="52"/>
    <x v="43"/>
    <x v="1"/>
    <x v="1"/>
    <x v="0"/>
    <x v="5"/>
  </r>
  <r>
    <x v="1"/>
    <x v="2"/>
    <x v="53"/>
    <x v="44"/>
    <x v="11"/>
    <x v="8"/>
    <x v="2"/>
    <x v="0"/>
  </r>
  <r>
    <x v="2"/>
    <x v="5"/>
    <x v="54"/>
    <x v="45"/>
    <x v="12"/>
    <x v="8"/>
    <x v="2"/>
    <x v="4"/>
  </r>
  <r>
    <x v="4"/>
    <x v="5"/>
    <x v="55"/>
    <x v="46"/>
    <x v="40"/>
    <x v="20"/>
    <x v="0"/>
    <x v="2"/>
  </r>
  <r>
    <x v="5"/>
    <x v="2"/>
    <x v="56"/>
    <x v="47"/>
    <x v="9"/>
    <x v="6"/>
    <x v="2"/>
    <x v="0"/>
  </r>
  <r>
    <x v="1"/>
    <x v="5"/>
    <x v="57"/>
    <x v="48"/>
    <x v="35"/>
    <x v="14"/>
    <x v="3"/>
    <x v="4"/>
  </r>
  <r>
    <x v="2"/>
    <x v="2"/>
    <x v="58"/>
    <x v="49"/>
    <x v="41"/>
    <x v="6"/>
    <x v="2"/>
    <x v="4"/>
  </r>
  <r>
    <x v="5"/>
    <x v="4"/>
    <x v="59"/>
    <x v="50"/>
    <x v="42"/>
    <x v="5"/>
    <x v="1"/>
    <x v="0"/>
  </r>
  <r>
    <x v="2"/>
    <x v="5"/>
    <x v="60"/>
    <x v="51"/>
    <x v="43"/>
    <x v="21"/>
    <x v="5"/>
    <x v="0"/>
  </r>
  <r>
    <x v="2"/>
    <x v="5"/>
    <x v="61"/>
    <x v="52"/>
    <x v="12"/>
    <x v="8"/>
    <x v="2"/>
    <x v="3"/>
  </r>
  <r>
    <x v="0"/>
    <x v="1"/>
    <x v="62"/>
    <x v="53"/>
    <x v="19"/>
    <x v="11"/>
    <x v="2"/>
    <x v="5"/>
  </r>
  <r>
    <x v="2"/>
    <x v="5"/>
    <x v="63"/>
    <x v="54"/>
    <x v="17"/>
    <x v="10"/>
    <x v="0"/>
    <x v="5"/>
  </r>
  <r>
    <x v="6"/>
    <x v="2"/>
    <x v="64"/>
    <x v="54"/>
    <x v="33"/>
    <x v="19"/>
    <x v="5"/>
    <x v="5"/>
  </r>
  <r>
    <x v="6"/>
    <x v="6"/>
    <x v="65"/>
    <x v="54"/>
    <x v="44"/>
    <x v="8"/>
    <x v="2"/>
    <x v="2"/>
  </r>
  <r>
    <x v="2"/>
    <x v="7"/>
    <x v="66"/>
    <x v="55"/>
    <x v="19"/>
    <x v="11"/>
    <x v="2"/>
    <x v="0"/>
  </r>
  <r>
    <x v="4"/>
    <x v="5"/>
    <x v="67"/>
    <x v="55"/>
    <x v="8"/>
    <x v="7"/>
    <x v="4"/>
    <x v="2"/>
  </r>
  <r>
    <x v="2"/>
    <x v="5"/>
    <x v="68"/>
    <x v="56"/>
    <x v="45"/>
    <x v="6"/>
    <x v="2"/>
    <x v="2"/>
  </r>
  <r>
    <x v="5"/>
    <x v="7"/>
    <x v="69"/>
    <x v="56"/>
    <x v="46"/>
    <x v="14"/>
    <x v="3"/>
    <x v="0"/>
  </r>
  <r>
    <x v="2"/>
    <x v="5"/>
    <x v="70"/>
    <x v="57"/>
    <x v="47"/>
    <x v="10"/>
    <x v="0"/>
    <x v="3"/>
  </r>
  <r>
    <x v="4"/>
    <x v="5"/>
    <x v="71"/>
    <x v="58"/>
    <x v="48"/>
    <x v="20"/>
    <x v="0"/>
    <x v="5"/>
  </r>
  <r>
    <x v="2"/>
    <x v="1"/>
    <x v="72"/>
    <x v="58"/>
    <x v="49"/>
    <x v="20"/>
    <x v="0"/>
    <x v="0"/>
  </r>
  <r>
    <x v="5"/>
    <x v="5"/>
    <x v="73"/>
    <x v="58"/>
    <x v="50"/>
    <x v="6"/>
    <x v="2"/>
    <x v="4"/>
  </r>
  <r>
    <x v="0"/>
    <x v="6"/>
    <x v="74"/>
    <x v="58"/>
    <x v="5"/>
    <x v="4"/>
    <x v="3"/>
    <x v="2"/>
  </r>
  <r>
    <x v="2"/>
    <x v="5"/>
    <x v="75"/>
    <x v="59"/>
    <x v="51"/>
    <x v="6"/>
    <x v="2"/>
    <x v="0"/>
  </r>
  <r>
    <x v="2"/>
    <x v="5"/>
    <x v="76"/>
    <x v="60"/>
    <x v="12"/>
    <x v="8"/>
    <x v="2"/>
    <x v="4"/>
  </r>
  <r>
    <x v="0"/>
    <x v="4"/>
    <x v="77"/>
    <x v="60"/>
    <x v="9"/>
    <x v="6"/>
    <x v="2"/>
    <x v="4"/>
  </r>
  <r>
    <x v="2"/>
    <x v="5"/>
    <x v="78"/>
    <x v="61"/>
    <x v="52"/>
    <x v="6"/>
    <x v="2"/>
    <x v="0"/>
  </r>
  <r>
    <x v="2"/>
    <x v="5"/>
    <x v="79"/>
    <x v="62"/>
    <x v="53"/>
    <x v="1"/>
    <x v="0"/>
    <x v="0"/>
  </r>
  <r>
    <x v="1"/>
    <x v="5"/>
    <x v="80"/>
    <x v="62"/>
    <x v="54"/>
    <x v="11"/>
    <x v="2"/>
    <x v="3"/>
  </r>
  <r>
    <x v="3"/>
    <x v="5"/>
    <x v="81"/>
    <x v="62"/>
    <x v="55"/>
    <x v="3"/>
    <x v="2"/>
    <x v="5"/>
  </r>
  <r>
    <x v="0"/>
    <x v="5"/>
    <x v="82"/>
    <x v="63"/>
    <x v="16"/>
    <x v="8"/>
    <x v="2"/>
    <x v="5"/>
  </r>
  <r>
    <x v="5"/>
    <x v="5"/>
    <x v="83"/>
    <x v="64"/>
    <x v="56"/>
    <x v="11"/>
    <x v="2"/>
    <x v="5"/>
  </r>
  <r>
    <x v="6"/>
    <x v="4"/>
    <x v="84"/>
    <x v="65"/>
    <x v="7"/>
    <x v="6"/>
    <x v="2"/>
    <x v="2"/>
  </r>
  <r>
    <x v="6"/>
    <x v="5"/>
    <x v="85"/>
    <x v="66"/>
    <x v="57"/>
    <x v="8"/>
    <x v="2"/>
    <x v="0"/>
  </r>
  <r>
    <x v="1"/>
    <x v="1"/>
    <x v="86"/>
    <x v="67"/>
    <x v="8"/>
    <x v="7"/>
    <x v="4"/>
    <x v="2"/>
  </r>
  <r>
    <x v="2"/>
    <x v="5"/>
    <x v="87"/>
    <x v="68"/>
    <x v="58"/>
    <x v="8"/>
    <x v="2"/>
    <x v="2"/>
  </r>
  <r>
    <x v="3"/>
    <x v="7"/>
    <x v="88"/>
    <x v="68"/>
    <x v="17"/>
    <x v="10"/>
    <x v="0"/>
    <x v="0"/>
  </r>
  <r>
    <x v="4"/>
    <x v="5"/>
    <x v="89"/>
    <x v="69"/>
    <x v="59"/>
    <x v="8"/>
    <x v="2"/>
    <x v="3"/>
  </r>
  <r>
    <x v="4"/>
    <x v="5"/>
    <x v="90"/>
    <x v="69"/>
    <x v="23"/>
    <x v="2"/>
    <x v="1"/>
    <x v="5"/>
  </r>
  <r>
    <x v="4"/>
    <x v="5"/>
    <x v="91"/>
    <x v="69"/>
    <x v="60"/>
    <x v="22"/>
    <x v="2"/>
    <x v="0"/>
  </r>
  <r>
    <x v="1"/>
    <x v="1"/>
    <x v="92"/>
    <x v="69"/>
    <x v="30"/>
    <x v="7"/>
    <x v="4"/>
    <x v="4"/>
  </r>
  <r>
    <x v="2"/>
    <x v="1"/>
    <x v="93"/>
    <x v="70"/>
    <x v="61"/>
    <x v="23"/>
    <x v="1"/>
    <x v="2"/>
  </r>
  <r>
    <x v="5"/>
    <x v="5"/>
    <x v="94"/>
    <x v="70"/>
    <x v="62"/>
    <x v="17"/>
    <x v="0"/>
    <x v="0"/>
  </r>
  <r>
    <x v="6"/>
    <x v="5"/>
    <x v="95"/>
    <x v="71"/>
    <x v="63"/>
    <x v="9"/>
    <x v="5"/>
    <x v="4"/>
  </r>
  <r>
    <x v="5"/>
    <x v="5"/>
    <x v="96"/>
    <x v="71"/>
    <x v="64"/>
    <x v="4"/>
    <x v="3"/>
    <x v="4"/>
  </r>
  <r>
    <x v="0"/>
    <x v="5"/>
    <x v="97"/>
    <x v="71"/>
    <x v="65"/>
    <x v="1"/>
    <x v="0"/>
    <x v="0"/>
  </r>
  <r>
    <x v="6"/>
    <x v="5"/>
    <x v="98"/>
    <x v="72"/>
    <x v="56"/>
    <x v="11"/>
    <x v="2"/>
    <x v="0"/>
  </r>
  <r>
    <x v="1"/>
    <x v="5"/>
    <x v="99"/>
    <x v="73"/>
    <x v="37"/>
    <x v="2"/>
    <x v="1"/>
    <x v="3"/>
  </r>
  <r>
    <x v="2"/>
    <x v="1"/>
    <x v="100"/>
    <x v="74"/>
    <x v="66"/>
    <x v="24"/>
    <x v="0"/>
    <x v="5"/>
  </r>
  <r>
    <x v="5"/>
    <x v="5"/>
    <x v="101"/>
    <x v="74"/>
    <x v="67"/>
    <x v="4"/>
    <x v="3"/>
    <x v="5"/>
  </r>
  <r>
    <x v="5"/>
    <x v="5"/>
    <x v="102"/>
    <x v="75"/>
    <x v="68"/>
    <x v="11"/>
    <x v="2"/>
    <x v="5"/>
  </r>
  <r>
    <x v="1"/>
    <x v="5"/>
    <x v="103"/>
    <x v="76"/>
    <x v="69"/>
    <x v="6"/>
    <x v="2"/>
    <x v="2"/>
  </r>
  <r>
    <x v="2"/>
    <x v="5"/>
    <x v="104"/>
    <x v="77"/>
    <x v="31"/>
    <x v="5"/>
    <x v="1"/>
    <x v="0"/>
  </r>
  <r>
    <x v="1"/>
    <x v="4"/>
    <x v="105"/>
    <x v="77"/>
    <x v="70"/>
    <x v="6"/>
    <x v="2"/>
    <x v="2"/>
  </r>
  <r>
    <x v="1"/>
    <x v="5"/>
    <x v="106"/>
    <x v="78"/>
    <x v="71"/>
    <x v="25"/>
    <x v="5"/>
    <x v="2"/>
  </r>
  <r>
    <x v="2"/>
    <x v="1"/>
    <x v="107"/>
    <x v="79"/>
    <x v="44"/>
    <x v="8"/>
    <x v="2"/>
    <x v="0"/>
  </r>
  <r>
    <x v="2"/>
    <x v="1"/>
    <x v="108"/>
    <x v="80"/>
    <x v="72"/>
    <x v="6"/>
    <x v="2"/>
    <x v="3"/>
  </r>
  <r>
    <x v="4"/>
    <x v="7"/>
    <x v="109"/>
    <x v="81"/>
    <x v="73"/>
    <x v="2"/>
    <x v="1"/>
    <x v="5"/>
  </r>
  <r>
    <x v="6"/>
    <x v="5"/>
    <x v="110"/>
    <x v="82"/>
    <x v="15"/>
    <x v="9"/>
    <x v="5"/>
    <x v="0"/>
  </r>
  <r>
    <x v="2"/>
    <x v="7"/>
    <x v="111"/>
    <x v="82"/>
    <x v="1"/>
    <x v="1"/>
    <x v="0"/>
    <x v="4"/>
  </r>
  <r>
    <x v="2"/>
    <x v="5"/>
    <x v="112"/>
    <x v="83"/>
    <x v="40"/>
    <x v="20"/>
    <x v="0"/>
    <x v="2"/>
  </r>
  <r>
    <x v="1"/>
    <x v="5"/>
    <x v="113"/>
    <x v="84"/>
    <x v="74"/>
    <x v="6"/>
    <x v="2"/>
    <x v="0"/>
  </r>
  <r>
    <x v="4"/>
    <x v="4"/>
    <x v="114"/>
    <x v="85"/>
    <x v="75"/>
    <x v="6"/>
    <x v="2"/>
    <x v="4"/>
  </r>
  <r>
    <x v="4"/>
    <x v="5"/>
    <x v="115"/>
    <x v="86"/>
    <x v="76"/>
    <x v="5"/>
    <x v="1"/>
    <x v="4"/>
  </r>
  <r>
    <x v="5"/>
    <x v="5"/>
    <x v="116"/>
    <x v="86"/>
    <x v="77"/>
    <x v="6"/>
    <x v="2"/>
    <x v="0"/>
  </r>
  <r>
    <x v="1"/>
    <x v="5"/>
    <x v="117"/>
    <x v="86"/>
    <x v="78"/>
    <x v="4"/>
    <x v="3"/>
    <x v="0"/>
  </r>
  <r>
    <x v="2"/>
    <x v="5"/>
    <x v="118"/>
    <x v="87"/>
    <x v="79"/>
    <x v="6"/>
    <x v="2"/>
    <x v="3"/>
  </r>
  <r>
    <x v="1"/>
    <x v="1"/>
    <x v="119"/>
    <x v="88"/>
    <x v="80"/>
    <x v="8"/>
    <x v="2"/>
    <x v="5"/>
  </r>
  <r>
    <x v="0"/>
    <x v="7"/>
    <x v="120"/>
    <x v="89"/>
    <x v="35"/>
    <x v="14"/>
    <x v="3"/>
    <x v="5"/>
  </r>
  <r>
    <x v="5"/>
    <x v="7"/>
    <x v="121"/>
    <x v="90"/>
    <x v="81"/>
    <x v="22"/>
    <x v="2"/>
    <x v="5"/>
  </r>
  <r>
    <x v="2"/>
    <x v="1"/>
    <x v="122"/>
    <x v="91"/>
    <x v="82"/>
    <x v="9"/>
    <x v="5"/>
    <x v="2"/>
  </r>
  <r>
    <x v="2"/>
    <x v="1"/>
    <x v="123"/>
    <x v="92"/>
    <x v="9"/>
    <x v="6"/>
    <x v="2"/>
    <x v="0"/>
  </r>
  <r>
    <x v="3"/>
    <x v="1"/>
    <x v="124"/>
    <x v="92"/>
    <x v="83"/>
    <x v="12"/>
    <x v="2"/>
    <x v="2"/>
  </r>
  <r>
    <x v="2"/>
    <x v="1"/>
    <x v="125"/>
    <x v="93"/>
    <x v="11"/>
    <x v="8"/>
    <x v="2"/>
    <x v="2"/>
  </r>
  <r>
    <x v="1"/>
    <x v="1"/>
    <x v="126"/>
    <x v="93"/>
    <x v="84"/>
    <x v="26"/>
    <x v="5"/>
    <x v="0"/>
  </r>
  <r>
    <x v="4"/>
    <x v="5"/>
    <x v="127"/>
    <x v="94"/>
    <x v="14"/>
    <x v="2"/>
    <x v="1"/>
    <x v="3"/>
  </r>
  <r>
    <x v="1"/>
    <x v="5"/>
    <x v="128"/>
    <x v="95"/>
    <x v="85"/>
    <x v="11"/>
    <x v="2"/>
    <x v="5"/>
  </r>
  <r>
    <x v="2"/>
    <x v="5"/>
    <x v="129"/>
    <x v="96"/>
    <x v="7"/>
    <x v="6"/>
    <x v="2"/>
    <x v="0"/>
  </r>
  <r>
    <x v="0"/>
    <x v="5"/>
    <x v="130"/>
    <x v="97"/>
    <x v="32"/>
    <x v="12"/>
    <x v="2"/>
    <x v="4"/>
  </r>
  <r>
    <x v="5"/>
    <x v="5"/>
    <x v="131"/>
    <x v="98"/>
    <x v="81"/>
    <x v="22"/>
    <x v="2"/>
    <x v="2"/>
  </r>
  <r>
    <x v="5"/>
    <x v="5"/>
    <x v="132"/>
    <x v="99"/>
    <x v="23"/>
    <x v="2"/>
    <x v="1"/>
    <x v="0"/>
  </r>
  <r>
    <x v="1"/>
    <x v="1"/>
    <x v="133"/>
    <x v="100"/>
    <x v="56"/>
    <x v="11"/>
    <x v="2"/>
    <x v="4"/>
  </r>
  <r>
    <x v="5"/>
    <x v="5"/>
    <x v="134"/>
    <x v="101"/>
    <x v="12"/>
    <x v="8"/>
    <x v="2"/>
    <x v="4"/>
  </r>
  <r>
    <x v="0"/>
    <x v="7"/>
    <x v="135"/>
    <x v="102"/>
    <x v="42"/>
    <x v="5"/>
    <x v="1"/>
    <x v="0"/>
  </r>
  <r>
    <x v="5"/>
    <x v="8"/>
    <x v="136"/>
    <x v="103"/>
    <x v="32"/>
    <x v="12"/>
    <x v="2"/>
    <x v="0"/>
  </r>
  <r>
    <x v="3"/>
    <x v="5"/>
    <x v="137"/>
    <x v="103"/>
    <x v="86"/>
    <x v="2"/>
    <x v="1"/>
    <x v="3"/>
  </r>
  <r>
    <x v="2"/>
    <x v="8"/>
    <x v="138"/>
    <x v="104"/>
    <x v="9"/>
    <x v="6"/>
    <x v="2"/>
    <x v="5"/>
  </r>
  <r>
    <x v="2"/>
    <x v="5"/>
    <x v="139"/>
    <x v="105"/>
    <x v="51"/>
    <x v="6"/>
    <x v="2"/>
    <x v="5"/>
  </r>
  <r>
    <x v="2"/>
    <x v="5"/>
    <x v="140"/>
    <x v="106"/>
    <x v="87"/>
    <x v="9"/>
    <x v="5"/>
    <x v="5"/>
  </r>
  <r>
    <x v="2"/>
    <x v="5"/>
    <x v="141"/>
    <x v="107"/>
    <x v="88"/>
    <x v="17"/>
    <x v="0"/>
    <x v="2"/>
  </r>
  <r>
    <x v="2"/>
    <x v="5"/>
    <x v="142"/>
    <x v="108"/>
    <x v="89"/>
    <x v="16"/>
    <x v="3"/>
    <x v="0"/>
  </r>
  <r>
    <x v="1"/>
    <x v="5"/>
    <x v="143"/>
    <x v="109"/>
    <x v="90"/>
    <x v="6"/>
    <x v="2"/>
    <x v="2"/>
  </r>
  <r>
    <x v="5"/>
    <x v="6"/>
    <x v="144"/>
    <x v="110"/>
    <x v="12"/>
    <x v="8"/>
    <x v="2"/>
    <x v="2"/>
  </r>
  <r>
    <x v="2"/>
    <x v="5"/>
    <x v="145"/>
    <x v="110"/>
    <x v="91"/>
    <x v="2"/>
    <x v="1"/>
    <x v="0"/>
  </r>
  <r>
    <x v="2"/>
    <x v="1"/>
    <x v="69"/>
    <x v="111"/>
    <x v="77"/>
    <x v="6"/>
    <x v="2"/>
    <x v="3"/>
  </r>
  <r>
    <x v="4"/>
    <x v="5"/>
    <x v="146"/>
    <x v="112"/>
    <x v="92"/>
    <x v="27"/>
    <x v="0"/>
    <x v="5"/>
  </r>
  <r>
    <x v="1"/>
    <x v="5"/>
    <x v="147"/>
    <x v="113"/>
    <x v="93"/>
    <x v="1"/>
    <x v="0"/>
    <x v="0"/>
  </r>
  <r>
    <x v="2"/>
    <x v="5"/>
    <x v="148"/>
    <x v="114"/>
    <x v="6"/>
    <x v="5"/>
    <x v="1"/>
    <x v="4"/>
  </r>
  <r>
    <x v="6"/>
    <x v="8"/>
    <x v="149"/>
    <x v="115"/>
    <x v="94"/>
    <x v="8"/>
    <x v="2"/>
    <x v="2"/>
  </r>
  <r>
    <x v="1"/>
    <x v="8"/>
    <x v="150"/>
    <x v="115"/>
    <x v="90"/>
    <x v="6"/>
    <x v="2"/>
    <x v="0"/>
  </r>
  <r>
    <x v="0"/>
    <x v="8"/>
    <x v="151"/>
    <x v="116"/>
    <x v="95"/>
    <x v="3"/>
    <x v="2"/>
    <x v="4"/>
  </r>
  <r>
    <x v="4"/>
    <x v="6"/>
    <x v="152"/>
    <x v="117"/>
    <x v="5"/>
    <x v="4"/>
    <x v="3"/>
    <x v="4"/>
  </r>
  <r>
    <x v="2"/>
    <x v="5"/>
    <x v="153"/>
    <x v="118"/>
    <x v="9"/>
    <x v="6"/>
    <x v="2"/>
    <x v="0"/>
  </r>
  <r>
    <x v="0"/>
    <x v="8"/>
    <x v="154"/>
    <x v="118"/>
    <x v="96"/>
    <x v="12"/>
    <x v="2"/>
    <x v="0"/>
  </r>
  <r>
    <x v="2"/>
    <x v="5"/>
    <x v="155"/>
    <x v="119"/>
    <x v="9"/>
    <x v="6"/>
    <x v="2"/>
    <x v="3"/>
  </r>
  <r>
    <x v="0"/>
    <x v="5"/>
    <x v="156"/>
    <x v="120"/>
    <x v="14"/>
    <x v="2"/>
    <x v="1"/>
    <x v="5"/>
  </r>
  <r>
    <x v="0"/>
    <x v="5"/>
    <x v="157"/>
    <x v="121"/>
    <x v="23"/>
    <x v="2"/>
    <x v="1"/>
    <x v="5"/>
  </r>
  <r>
    <x v="5"/>
    <x v="5"/>
    <x v="158"/>
    <x v="122"/>
    <x v="31"/>
    <x v="5"/>
    <x v="1"/>
    <x v="5"/>
  </r>
  <r>
    <x v="5"/>
    <x v="5"/>
    <x v="159"/>
    <x v="123"/>
    <x v="97"/>
    <x v="5"/>
    <x v="1"/>
    <x v="2"/>
  </r>
  <r>
    <x v="2"/>
    <x v="1"/>
    <x v="160"/>
    <x v="124"/>
    <x v="1"/>
    <x v="1"/>
    <x v="0"/>
    <x v="0"/>
  </r>
  <r>
    <x v="2"/>
    <x v="5"/>
    <x v="161"/>
    <x v="125"/>
    <x v="5"/>
    <x v="4"/>
    <x v="3"/>
    <x v="2"/>
  </r>
  <r>
    <x v="2"/>
    <x v="5"/>
    <x v="162"/>
    <x v="125"/>
    <x v="9"/>
    <x v="6"/>
    <x v="2"/>
    <x v="2"/>
  </r>
  <r>
    <x v="3"/>
    <x v="6"/>
    <x v="163"/>
    <x v="125"/>
    <x v="3"/>
    <x v="2"/>
    <x v="1"/>
    <x v="0"/>
  </r>
  <r>
    <x v="4"/>
    <x v="6"/>
    <x v="164"/>
    <x v="126"/>
    <x v="98"/>
    <x v="11"/>
    <x v="2"/>
    <x v="3"/>
  </r>
  <r>
    <x v="2"/>
    <x v="5"/>
    <x v="165"/>
    <x v="127"/>
    <x v="22"/>
    <x v="9"/>
    <x v="5"/>
    <x v="5"/>
  </r>
  <r>
    <x v="0"/>
    <x v="5"/>
    <x v="166"/>
    <x v="127"/>
    <x v="35"/>
    <x v="14"/>
    <x v="3"/>
    <x v="0"/>
  </r>
  <r>
    <x v="5"/>
    <x v="8"/>
    <x v="167"/>
    <x v="128"/>
    <x v="99"/>
    <x v="8"/>
    <x v="2"/>
    <x v="4"/>
  </r>
  <r>
    <x v="5"/>
    <x v="8"/>
    <x v="168"/>
    <x v="129"/>
    <x v="100"/>
    <x v="6"/>
    <x v="2"/>
    <x v="2"/>
  </r>
  <r>
    <x v="2"/>
    <x v="5"/>
    <x v="169"/>
    <x v="130"/>
    <x v="101"/>
    <x v="1"/>
    <x v="0"/>
    <x v="0"/>
  </r>
  <r>
    <x v="0"/>
    <x v="5"/>
    <x v="170"/>
    <x v="131"/>
    <x v="14"/>
    <x v="2"/>
    <x v="1"/>
    <x v="4"/>
  </r>
  <r>
    <x v="1"/>
    <x v="5"/>
    <x v="171"/>
    <x v="131"/>
    <x v="102"/>
    <x v="0"/>
    <x v="0"/>
    <x v="4"/>
  </r>
  <r>
    <x v="4"/>
    <x v="5"/>
    <x v="172"/>
    <x v="132"/>
    <x v="103"/>
    <x v="4"/>
    <x v="3"/>
    <x v="0"/>
  </r>
  <r>
    <x v="4"/>
    <x v="8"/>
    <x v="173"/>
    <x v="133"/>
    <x v="81"/>
    <x v="22"/>
    <x v="2"/>
    <x v="0"/>
  </r>
  <r>
    <x v="2"/>
    <x v="5"/>
    <x v="174"/>
    <x v="133"/>
    <x v="11"/>
    <x v="8"/>
    <x v="2"/>
    <x v="3"/>
  </r>
  <r>
    <x v="5"/>
    <x v="5"/>
    <x v="175"/>
    <x v="134"/>
    <x v="104"/>
    <x v="4"/>
    <x v="3"/>
    <x v="5"/>
  </r>
  <r>
    <x v="2"/>
    <x v="8"/>
    <x v="176"/>
    <x v="135"/>
    <x v="105"/>
    <x v="2"/>
    <x v="1"/>
    <x v="5"/>
  </r>
  <r>
    <x v="0"/>
    <x v="5"/>
    <x v="177"/>
    <x v="136"/>
    <x v="104"/>
    <x v="4"/>
    <x v="3"/>
    <x v="5"/>
  </r>
  <r>
    <x v="0"/>
    <x v="5"/>
    <x v="178"/>
    <x v="137"/>
    <x v="11"/>
    <x v="8"/>
    <x v="2"/>
    <x v="2"/>
  </r>
  <r>
    <x v="5"/>
    <x v="5"/>
    <x v="179"/>
    <x v="138"/>
    <x v="99"/>
    <x v="8"/>
    <x v="2"/>
    <x v="0"/>
  </r>
  <r>
    <x v="3"/>
    <x v="5"/>
    <x v="180"/>
    <x v="139"/>
    <x v="106"/>
    <x v="6"/>
    <x v="2"/>
    <x v="2"/>
  </r>
  <r>
    <x v="2"/>
    <x v="6"/>
    <x v="181"/>
    <x v="140"/>
    <x v="107"/>
    <x v="5"/>
    <x v="1"/>
    <x v="2"/>
  </r>
  <r>
    <x v="2"/>
    <x v="5"/>
    <x v="182"/>
    <x v="140"/>
    <x v="31"/>
    <x v="5"/>
    <x v="1"/>
    <x v="0"/>
  </r>
  <r>
    <x v="2"/>
    <x v="5"/>
    <x v="183"/>
    <x v="140"/>
    <x v="108"/>
    <x v="2"/>
    <x v="1"/>
    <x v="3"/>
  </r>
  <r>
    <x v="2"/>
    <x v="5"/>
    <x v="184"/>
    <x v="141"/>
    <x v="109"/>
    <x v="20"/>
    <x v="0"/>
    <x v="5"/>
  </r>
  <r>
    <x v="2"/>
    <x v="5"/>
    <x v="185"/>
    <x v="142"/>
    <x v="110"/>
    <x v="5"/>
    <x v="1"/>
    <x v="0"/>
  </r>
  <r>
    <x v="5"/>
    <x v="5"/>
    <x v="186"/>
    <x v="142"/>
    <x v="31"/>
    <x v="5"/>
    <x v="1"/>
    <x v="4"/>
  </r>
  <r>
    <x v="2"/>
    <x v="5"/>
    <x v="187"/>
    <x v="143"/>
    <x v="111"/>
    <x v="1"/>
    <x v="0"/>
    <x v="2"/>
  </r>
  <r>
    <x v="3"/>
    <x v="5"/>
    <x v="188"/>
    <x v="144"/>
    <x v="39"/>
    <x v="3"/>
    <x v="2"/>
    <x v="0"/>
  </r>
  <r>
    <x v="4"/>
    <x v="5"/>
    <x v="189"/>
    <x v="145"/>
    <x v="112"/>
    <x v="8"/>
    <x v="2"/>
    <x v="4"/>
  </r>
  <r>
    <x v="5"/>
    <x v="5"/>
    <x v="190"/>
    <x v="145"/>
    <x v="93"/>
    <x v="1"/>
    <x v="0"/>
    <x v="4"/>
  </r>
  <r>
    <x v="5"/>
    <x v="5"/>
    <x v="191"/>
    <x v="146"/>
    <x v="14"/>
    <x v="2"/>
    <x v="1"/>
    <x v="0"/>
  </r>
  <r>
    <x v="0"/>
    <x v="1"/>
    <x v="192"/>
    <x v="147"/>
    <x v="113"/>
    <x v="2"/>
    <x v="1"/>
    <x v="0"/>
  </r>
  <r>
    <x v="5"/>
    <x v="8"/>
    <x v="193"/>
    <x v="148"/>
    <x v="62"/>
    <x v="17"/>
    <x v="0"/>
    <x v="3"/>
  </r>
  <r>
    <x v="3"/>
    <x v="8"/>
    <x v="194"/>
    <x v="148"/>
    <x v="104"/>
    <x v="4"/>
    <x v="3"/>
    <x v="5"/>
  </r>
  <r>
    <x v="4"/>
    <x v="8"/>
    <x v="195"/>
    <x v="149"/>
    <x v="114"/>
    <x v="4"/>
    <x v="3"/>
    <x v="5"/>
  </r>
  <r>
    <x v="4"/>
    <x v="5"/>
    <x v="195"/>
    <x v="150"/>
    <x v="115"/>
    <x v="28"/>
    <x v="5"/>
    <x v="5"/>
  </r>
  <r>
    <x v="0"/>
    <x v="6"/>
    <x v="196"/>
    <x v="149"/>
    <x v="116"/>
    <x v="4"/>
    <x v="3"/>
    <x v="2"/>
  </r>
  <r>
    <x v="0"/>
    <x v="5"/>
    <x v="197"/>
    <x v="150"/>
    <x v="61"/>
    <x v="23"/>
    <x v="1"/>
    <x v="0"/>
  </r>
  <r>
    <x v="3"/>
    <x v="5"/>
    <x v="198"/>
    <x v="150"/>
    <x v="84"/>
    <x v="26"/>
    <x v="5"/>
    <x v="3"/>
  </r>
  <r>
    <x v="4"/>
    <x v="6"/>
    <x v="198"/>
    <x v="150"/>
    <x v="61"/>
    <x v="10"/>
    <x v="0"/>
    <x v="4"/>
  </r>
  <r>
    <x v="0"/>
    <x v="5"/>
    <x v="166"/>
    <x v="127"/>
    <x v="35"/>
    <x v="14"/>
    <x v="3"/>
    <x v="0"/>
  </r>
  <r>
    <x v="5"/>
    <x v="5"/>
    <x v="167"/>
    <x v="128"/>
    <x v="99"/>
    <x v="8"/>
    <x v="2"/>
    <x v="4"/>
  </r>
  <r>
    <x v="5"/>
    <x v="5"/>
    <x v="168"/>
    <x v="129"/>
    <x v="100"/>
    <x v="6"/>
    <x v="2"/>
    <x v="2"/>
  </r>
  <r>
    <x v="2"/>
    <x v="5"/>
    <x v="169"/>
    <x v="130"/>
    <x v="101"/>
    <x v="1"/>
    <x v="0"/>
    <x v="0"/>
  </r>
  <r>
    <x v="0"/>
    <x v="5"/>
    <x v="170"/>
    <x v="131"/>
    <x v="14"/>
    <x v="2"/>
    <x v="1"/>
    <x v="4"/>
  </r>
  <r>
    <x v="1"/>
    <x v="5"/>
    <x v="171"/>
    <x v="131"/>
    <x v="102"/>
    <x v="0"/>
    <x v="0"/>
    <x v="4"/>
  </r>
  <r>
    <x v="4"/>
    <x v="8"/>
    <x v="172"/>
    <x v="132"/>
    <x v="103"/>
    <x v="4"/>
    <x v="3"/>
    <x v="0"/>
  </r>
  <r>
    <x v="4"/>
    <x v="5"/>
    <x v="173"/>
    <x v="133"/>
    <x v="81"/>
    <x v="22"/>
    <x v="2"/>
    <x v="0"/>
  </r>
  <r>
    <x v="2"/>
    <x v="5"/>
    <x v="174"/>
    <x v="133"/>
    <x v="11"/>
    <x v="8"/>
    <x v="2"/>
    <x v="3"/>
  </r>
  <r>
    <x v="5"/>
    <x v="5"/>
    <x v="175"/>
    <x v="134"/>
    <x v="104"/>
    <x v="4"/>
    <x v="3"/>
    <x v="5"/>
  </r>
  <r>
    <x v="2"/>
    <x v="5"/>
    <x v="176"/>
    <x v="135"/>
    <x v="105"/>
    <x v="2"/>
    <x v="1"/>
    <x v="5"/>
  </r>
  <r>
    <x v="0"/>
    <x v="5"/>
    <x v="177"/>
    <x v="136"/>
    <x v="104"/>
    <x v="4"/>
    <x v="3"/>
    <x v="5"/>
  </r>
  <r>
    <x v="0"/>
    <x v="5"/>
    <x v="178"/>
    <x v="137"/>
    <x v="11"/>
    <x v="8"/>
    <x v="2"/>
    <x v="2"/>
  </r>
  <r>
    <x v="5"/>
    <x v="8"/>
    <x v="179"/>
    <x v="138"/>
    <x v="99"/>
    <x v="8"/>
    <x v="2"/>
    <x v="0"/>
  </r>
  <r>
    <x v="3"/>
    <x v="5"/>
    <x v="180"/>
    <x v="139"/>
    <x v="106"/>
    <x v="6"/>
    <x v="2"/>
    <x v="2"/>
  </r>
  <r>
    <x v="2"/>
    <x v="6"/>
    <x v="181"/>
    <x v="140"/>
    <x v="107"/>
    <x v="5"/>
    <x v="1"/>
    <x v="2"/>
  </r>
  <r>
    <x v="2"/>
    <x v="5"/>
    <x v="182"/>
    <x v="140"/>
    <x v="31"/>
    <x v="5"/>
    <x v="1"/>
    <x v="0"/>
  </r>
  <r>
    <x v="2"/>
    <x v="5"/>
    <x v="183"/>
    <x v="140"/>
    <x v="108"/>
    <x v="2"/>
    <x v="1"/>
    <x v="3"/>
  </r>
  <r>
    <x v="2"/>
    <x v="8"/>
    <x v="184"/>
    <x v="141"/>
    <x v="109"/>
    <x v="20"/>
    <x v="0"/>
    <x v="5"/>
  </r>
  <r>
    <x v="2"/>
    <x v="8"/>
    <x v="185"/>
    <x v="142"/>
    <x v="110"/>
    <x v="5"/>
    <x v="1"/>
    <x v="0"/>
  </r>
  <r>
    <x v="5"/>
    <x v="8"/>
    <x v="186"/>
    <x v="142"/>
    <x v="31"/>
    <x v="5"/>
    <x v="1"/>
    <x v="4"/>
  </r>
  <r>
    <x v="2"/>
    <x v="8"/>
    <x v="187"/>
    <x v="143"/>
    <x v="111"/>
    <x v="1"/>
    <x v="0"/>
    <x v="2"/>
  </r>
  <r>
    <x v="3"/>
    <x v="8"/>
    <x v="188"/>
    <x v="144"/>
    <x v="39"/>
    <x v="3"/>
    <x v="2"/>
    <x v="0"/>
  </r>
  <r>
    <x v="4"/>
    <x v="8"/>
    <x v="189"/>
    <x v="145"/>
    <x v="112"/>
    <x v="8"/>
    <x v="2"/>
    <x v="4"/>
  </r>
  <r>
    <x v="5"/>
    <x v="8"/>
    <x v="190"/>
    <x v="145"/>
    <x v="93"/>
    <x v="1"/>
    <x v="0"/>
    <x v="4"/>
  </r>
  <r>
    <x v="5"/>
    <x v="5"/>
    <x v="191"/>
    <x v="146"/>
    <x v="14"/>
    <x v="2"/>
    <x v="1"/>
    <x v="0"/>
  </r>
  <r>
    <x v="0"/>
    <x v="1"/>
    <x v="192"/>
    <x v="147"/>
    <x v="113"/>
    <x v="2"/>
    <x v="1"/>
    <x v="0"/>
  </r>
  <r>
    <x v="5"/>
    <x v="5"/>
    <x v="193"/>
    <x v="148"/>
    <x v="62"/>
    <x v="17"/>
    <x v="0"/>
    <x v="3"/>
  </r>
  <r>
    <x v="3"/>
    <x v="5"/>
    <x v="194"/>
    <x v="148"/>
    <x v="104"/>
    <x v="4"/>
    <x v="3"/>
    <x v="5"/>
  </r>
  <r>
    <x v="4"/>
    <x v="5"/>
    <x v="195"/>
    <x v="149"/>
    <x v="114"/>
    <x v="4"/>
    <x v="3"/>
    <x v="5"/>
  </r>
  <r>
    <x v="4"/>
    <x v="5"/>
    <x v="195"/>
    <x v="150"/>
    <x v="115"/>
    <x v="28"/>
    <x v="5"/>
    <x v="5"/>
  </r>
  <r>
    <x v="0"/>
    <x v="6"/>
    <x v="196"/>
    <x v="149"/>
    <x v="116"/>
    <x v="4"/>
    <x v="3"/>
    <x v="2"/>
  </r>
  <r>
    <x v="0"/>
    <x v="5"/>
    <x v="197"/>
    <x v="150"/>
    <x v="61"/>
    <x v="23"/>
    <x v="1"/>
    <x v="0"/>
  </r>
  <r>
    <x v="3"/>
    <x v="5"/>
    <x v="198"/>
    <x v="150"/>
    <x v="84"/>
    <x v="26"/>
    <x v="5"/>
    <x v="3"/>
  </r>
  <r>
    <x v="4"/>
    <x v="6"/>
    <x v="198"/>
    <x v="150"/>
    <x v="61"/>
    <x v="10"/>
    <x v="0"/>
    <x v="4"/>
  </r>
  <r>
    <x v="1"/>
    <x v="0"/>
    <x v="12"/>
    <x v="12"/>
    <x v="12"/>
    <x v="8"/>
    <x v="2"/>
    <x v="0"/>
  </r>
  <r>
    <x v="5"/>
    <x v="2"/>
    <x v="13"/>
    <x v="13"/>
    <x v="13"/>
    <x v="2"/>
    <x v="1"/>
    <x v="3"/>
  </r>
  <r>
    <x v="2"/>
    <x v="3"/>
    <x v="14"/>
    <x v="14"/>
    <x v="14"/>
    <x v="2"/>
    <x v="1"/>
    <x v="5"/>
  </r>
  <r>
    <x v="2"/>
    <x v="3"/>
    <x v="15"/>
    <x v="15"/>
    <x v="3"/>
    <x v="2"/>
    <x v="1"/>
    <x v="0"/>
  </r>
  <r>
    <x v="2"/>
    <x v="2"/>
    <x v="16"/>
    <x v="16"/>
    <x v="15"/>
    <x v="9"/>
    <x v="5"/>
    <x v="4"/>
  </r>
  <r>
    <x v="1"/>
    <x v="2"/>
    <x v="17"/>
    <x v="16"/>
    <x v="16"/>
    <x v="8"/>
    <x v="2"/>
    <x v="2"/>
  </r>
  <r>
    <x v="5"/>
    <x v="1"/>
    <x v="18"/>
    <x v="17"/>
    <x v="5"/>
    <x v="4"/>
    <x v="3"/>
    <x v="0"/>
  </r>
  <r>
    <x v="4"/>
    <x v="1"/>
    <x v="19"/>
    <x v="18"/>
    <x v="9"/>
    <x v="6"/>
    <x v="2"/>
    <x v="4"/>
  </r>
  <r>
    <x v="2"/>
    <x v="1"/>
    <x v="20"/>
    <x v="19"/>
    <x v="17"/>
    <x v="10"/>
    <x v="0"/>
    <x v="4"/>
  </r>
  <r>
    <x v="2"/>
    <x v="4"/>
    <x v="21"/>
    <x v="20"/>
    <x v="18"/>
    <x v="4"/>
    <x v="3"/>
    <x v="0"/>
  </r>
  <r>
    <x v="3"/>
    <x v="1"/>
    <x v="22"/>
    <x v="21"/>
    <x v="19"/>
    <x v="11"/>
    <x v="2"/>
    <x v="0"/>
  </r>
  <r>
    <x v="0"/>
    <x v="4"/>
    <x v="23"/>
    <x v="22"/>
    <x v="20"/>
    <x v="11"/>
    <x v="2"/>
    <x v="3"/>
  </r>
  <r>
    <x v="6"/>
    <x v="1"/>
    <x v="24"/>
    <x v="23"/>
    <x v="1"/>
    <x v="1"/>
    <x v="0"/>
    <x v="5"/>
  </r>
  <r>
    <x v="3"/>
    <x v="4"/>
    <x v="25"/>
    <x v="23"/>
    <x v="21"/>
    <x v="12"/>
    <x v="2"/>
    <x v="5"/>
  </r>
  <r>
    <x v="3"/>
    <x v="1"/>
    <x v="26"/>
    <x v="24"/>
    <x v="9"/>
    <x v="6"/>
    <x v="2"/>
    <x v="5"/>
  </r>
  <r>
    <x v="5"/>
    <x v="4"/>
    <x v="27"/>
    <x v="25"/>
    <x v="5"/>
    <x v="4"/>
    <x v="3"/>
    <x v="2"/>
  </r>
  <r>
    <x v="6"/>
    <x v="1"/>
    <x v="28"/>
    <x v="26"/>
    <x v="22"/>
    <x v="9"/>
    <x v="5"/>
    <x v="0"/>
  </r>
  <r>
    <x v="5"/>
    <x v="4"/>
    <x v="29"/>
    <x v="27"/>
    <x v="23"/>
    <x v="2"/>
    <x v="1"/>
    <x v="2"/>
  </r>
  <r>
    <x v="5"/>
    <x v="1"/>
    <x v="30"/>
    <x v="28"/>
    <x v="24"/>
    <x v="13"/>
    <x v="4"/>
    <x v="2"/>
  </r>
  <r>
    <x v="1"/>
    <x v="4"/>
    <x v="31"/>
    <x v="28"/>
    <x v="25"/>
    <x v="14"/>
    <x v="3"/>
    <x v="0"/>
  </r>
  <r>
    <x v="5"/>
    <x v="1"/>
    <x v="32"/>
    <x v="29"/>
    <x v="26"/>
    <x v="15"/>
    <x v="3"/>
    <x v="3"/>
  </r>
  <r>
    <x v="5"/>
    <x v="3"/>
    <x v="33"/>
    <x v="30"/>
    <x v="27"/>
    <x v="16"/>
    <x v="3"/>
    <x v="5"/>
  </r>
  <r>
    <x v="5"/>
    <x v="5"/>
    <x v="34"/>
    <x v="31"/>
    <x v="28"/>
    <x v="17"/>
    <x v="0"/>
    <x v="0"/>
  </r>
  <r>
    <x v="0"/>
    <x v="0"/>
    <x v="35"/>
    <x v="31"/>
    <x v="29"/>
    <x v="18"/>
    <x v="0"/>
    <x v="4"/>
  </r>
  <r>
    <x v="2"/>
    <x v="5"/>
    <x v="36"/>
    <x v="32"/>
    <x v="30"/>
    <x v="7"/>
    <x v="4"/>
    <x v="2"/>
  </r>
  <r>
    <x v="2"/>
    <x v="5"/>
    <x v="37"/>
    <x v="32"/>
    <x v="3"/>
    <x v="2"/>
    <x v="1"/>
    <x v="0"/>
  </r>
  <r>
    <x v="0"/>
    <x v="5"/>
    <x v="38"/>
    <x v="32"/>
    <x v="17"/>
    <x v="10"/>
    <x v="0"/>
    <x v="4"/>
  </r>
  <r>
    <x v="1"/>
    <x v="0"/>
    <x v="39"/>
    <x v="33"/>
    <x v="31"/>
    <x v="5"/>
    <x v="1"/>
    <x v="4"/>
  </r>
  <r>
    <x v="2"/>
    <x v="0"/>
    <x v="40"/>
    <x v="34"/>
    <x v="23"/>
    <x v="2"/>
    <x v="1"/>
    <x v="0"/>
  </r>
  <r>
    <x v="2"/>
    <x v="2"/>
    <x v="41"/>
    <x v="34"/>
    <x v="32"/>
    <x v="12"/>
    <x v="2"/>
    <x v="0"/>
  </r>
  <r>
    <x v="3"/>
    <x v="0"/>
    <x v="42"/>
    <x v="35"/>
    <x v="33"/>
    <x v="19"/>
    <x v="5"/>
    <x v="3"/>
  </r>
  <r>
    <x v="4"/>
    <x v="5"/>
    <x v="43"/>
    <x v="36"/>
    <x v="34"/>
    <x v="3"/>
    <x v="2"/>
    <x v="5"/>
  </r>
  <r>
    <x v="4"/>
    <x v="5"/>
    <x v="44"/>
    <x v="37"/>
    <x v="35"/>
    <x v="14"/>
    <x v="3"/>
    <x v="5"/>
  </r>
  <r>
    <x v="2"/>
    <x v="2"/>
    <x v="45"/>
    <x v="38"/>
    <x v="17"/>
    <x v="10"/>
    <x v="0"/>
    <x v="5"/>
  </r>
  <r>
    <x v="0"/>
    <x v="5"/>
    <x v="46"/>
    <x v="38"/>
    <x v="6"/>
    <x v="5"/>
    <x v="1"/>
    <x v="2"/>
  </r>
  <r>
    <x v="2"/>
    <x v="5"/>
    <x v="47"/>
    <x v="39"/>
    <x v="36"/>
    <x v="4"/>
    <x v="3"/>
    <x v="0"/>
  </r>
  <r>
    <x v="6"/>
    <x v="2"/>
    <x v="48"/>
    <x v="40"/>
    <x v="37"/>
    <x v="2"/>
    <x v="1"/>
    <x v="2"/>
  </r>
  <r>
    <x v="5"/>
    <x v="2"/>
    <x v="49"/>
    <x v="41"/>
    <x v="38"/>
    <x v="2"/>
    <x v="1"/>
    <x v="2"/>
  </r>
  <r>
    <x v="5"/>
    <x v="5"/>
    <x v="50"/>
    <x v="41"/>
    <x v="39"/>
    <x v="3"/>
    <x v="2"/>
    <x v="0"/>
  </r>
  <r>
    <x v="0"/>
    <x v="0"/>
    <x v="51"/>
    <x v="42"/>
    <x v="0"/>
    <x v="0"/>
    <x v="0"/>
    <x v="3"/>
  </r>
  <r>
    <x v="0"/>
    <x v="5"/>
    <x v="52"/>
    <x v="43"/>
    <x v="1"/>
    <x v="1"/>
    <x v="0"/>
    <x v="5"/>
  </r>
  <r>
    <x v="1"/>
    <x v="2"/>
    <x v="53"/>
    <x v="44"/>
    <x v="11"/>
    <x v="8"/>
    <x v="2"/>
    <x v="0"/>
  </r>
  <r>
    <x v="2"/>
    <x v="8"/>
    <x v="54"/>
    <x v="45"/>
    <x v="12"/>
    <x v="8"/>
    <x v="2"/>
    <x v="4"/>
  </r>
  <r>
    <x v="4"/>
    <x v="5"/>
    <x v="55"/>
    <x v="46"/>
    <x v="40"/>
    <x v="20"/>
    <x v="0"/>
    <x v="2"/>
  </r>
  <r>
    <x v="5"/>
    <x v="2"/>
    <x v="56"/>
    <x v="47"/>
    <x v="9"/>
    <x v="6"/>
    <x v="2"/>
    <x v="0"/>
  </r>
  <r>
    <x v="1"/>
    <x v="5"/>
    <x v="57"/>
    <x v="48"/>
    <x v="35"/>
    <x v="14"/>
    <x v="3"/>
    <x v="4"/>
  </r>
  <r>
    <x v="2"/>
    <x v="2"/>
    <x v="58"/>
    <x v="49"/>
    <x v="41"/>
    <x v="6"/>
    <x v="2"/>
    <x v="4"/>
  </r>
  <r>
    <x v="5"/>
    <x v="4"/>
    <x v="59"/>
    <x v="50"/>
    <x v="42"/>
    <x v="5"/>
    <x v="1"/>
    <x v="0"/>
  </r>
  <r>
    <x v="2"/>
    <x v="5"/>
    <x v="60"/>
    <x v="51"/>
    <x v="43"/>
    <x v="21"/>
    <x v="5"/>
    <x v="0"/>
  </r>
  <r>
    <x v="2"/>
    <x v="5"/>
    <x v="61"/>
    <x v="52"/>
    <x v="12"/>
    <x v="8"/>
    <x v="2"/>
    <x v="3"/>
  </r>
  <r>
    <x v="0"/>
    <x v="1"/>
    <x v="62"/>
    <x v="53"/>
    <x v="19"/>
    <x v="11"/>
    <x v="2"/>
    <x v="5"/>
  </r>
  <r>
    <x v="2"/>
    <x v="5"/>
    <x v="63"/>
    <x v="54"/>
    <x v="17"/>
    <x v="10"/>
    <x v="0"/>
    <x v="5"/>
  </r>
  <r>
    <x v="6"/>
    <x v="2"/>
    <x v="64"/>
    <x v="54"/>
    <x v="33"/>
    <x v="19"/>
    <x v="5"/>
    <x v="5"/>
  </r>
  <r>
    <x v="6"/>
    <x v="6"/>
    <x v="65"/>
    <x v="54"/>
    <x v="44"/>
    <x v="8"/>
    <x v="2"/>
    <x v="2"/>
  </r>
  <r>
    <x v="2"/>
    <x v="5"/>
    <x v="66"/>
    <x v="55"/>
    <x v="19"/>
    <x v="11"/>
    <x v="2"/>
    <x v="0"/>
  </r>
  <r>
    <x v="4"/>
    <x v="5"/>
    <x v="67"/>
    <x v="55"/>
    <x v="8"/>
    <x v="7"/>
    <x v="4"/>
    <x v="2"/>
  </r>
  <r>
    <x v="2"/>
    <x v="1"/>
    <x v="68"/>
    <x v="56"/>
    <x v="45"/>
    <x v="6"/>
    <x v="2"/>
    <x v="2"/>
  </r>
  <r>
    <x v="5"/>
    <x v="1"/>
    <x v="69"/>
    <x v="56"/>
    <x v="46"/>
    <x v="14"/>
    <x v="3"/>
    <x v="0"/>
  </r>
  <r>
    <x v="2"/>
    <x v="1"/>
    <x v="70"/>
    <x v="57"/>
    <x v="47"/>
    <x v="10"/>
    <x v="0"/>
    <x v="3"/>
  </r>
  <r>
    <x v="4"/>
    <x v="1"/>
    <x v="71"/>
    <x v="58"/>
    <x v="48"/>
    <x v="20"/>
    <x v="0"/>
    <x v="5"/>
  </r>
  <r>
    <x v="2"/>
    <x v="1"/>
    <x v="72"/>
    <x v="58"/>
    <x v="49"/>
    <x v="20"/>
    <x v="0"/>
    <x v="0"/>
  </r>
  <r>
    <x v="5"/>
    <x v="5"/>
    <x v="73"/>
    <x v="58"/>
    <x v="50"/>
    <x v="6"/>
    <x v="2"/>
    <x v="4"/>
  </r>
  <r>
    <x v="0"/>
    <x v="6"/>
    <x v="74"/>
    <x v="58"/>
    <x v="5"/>
    <x v="4"/>
    <x v="3"/>
    <x v="2"/>
  </r>
  <r>
    <x v="2"/>
    <x v="5"/>
    <x v="75"/>
    <x v="59"/>
    <x v="51"/>
    <x v="6"/>
    <x v="2"/>
    <x v="0"/>
  </r>
  <r>
    <x v="2"/>
    <x v="5"/>
    <x v="76"/>
    <x v="60"/>
    <x v="12"/>
    <x v="8"/>
    <x v="2"/>
    <x v="4"/>
  </r>
  <r>
    <x v="0"/>
    <x v="4"/>
    <x v="77"/>
    <x v="60"/>
    <x v="9"/>
    <x v="6"/>
    <x v="2"/>
    <x v="4"/>
  </r>
  <r>
    <x v="2"/>
    <x v="1"/>
    <x v="78"/>
    <x v="61"/>
    <x v="52"/>
    <x v="6"/>
    <x v="2"/>
    <x v="0"/>
  </r>
  <r>
    <x v="2"/>
    <x v="1"/>
    <x v="79"/>
    <x v="62"/>
    <x v="53"/>
    <x v="1"/>
    <x v="0"/>
    <x v="0"/>
  </r>
  <r>
    <x v="1"/>
    <x v="1"/>
    <x v="80"/>
    <x v="62"/>
    <x v="54"/>
    <x v="11"/>
    <x v="2"/>
    <x v="3"/>
  </r>
  <r>
    <x v="3"/>
    <x v="1"/>
    <x v="81"/>
    <x v="62"/>
    <x v="55"/>
    <x v="3"/>
    <x v="2"/>
    <x v="5"/>
  </r>
  <r>
    <x v="0"/>
    <x v="1"/>
    <x v="82"/>
    <x v="63"/>
    <x v="16"/>
    <x v="8"/>
    <x v="2"/>
    <x v="5"/>
  </r>
  <r>
    <x v="5"/>
    <x v="1"/>
    <x v="83"/>
    <x v="64"/>
    <x v="56"/>
    <x v="11"/>
    <x v="2"/>
    <x v="5"/>
  </r>
  <r>
    <x v="6"/>
    <x v="4"/>
    <x v="84"/>
    <x v="65"/>
    <x v="7"/>
    <x v="6"/>
    <x v="2"/>
    <x v="2"/>
  </r>
  <r>
    <x v="6"/>
    <x v="5"/>
    <x v="85"/>
    <x v="66"/>
    <x v="57"/>
    <x v="8"/>
    <x v="2"/>
    <x v="0"/>
  </r>
  <r>
    <x v="1"/>
    <x v="1"/>
    <x v="86"/>
    <x v="67"/>
    <x v="8"/>
    <x v="7"/>
    <x v="4"/>
    <x v="2"/>
  </r>
  <r>
    <x v="2"/>
    <x v="5"/>
    <x v="87"/>
    <x v="68"/>
    <x v="58"/>
    <x v="8"/>
    <x v="2"/>
    <x v="2"/>
  </r>
  <r>
    <x v="3"/>
    <x v="5"/>
    <x v="88"/>
    <x v="68"/>
    <x v="17"/>
    <x v="10"/>
    <x v="0"/>
    <x v="0"/>
  </r>
  <r>
    <x v="4"/>
    <x v="5"/>
    <x v="89"/>
    <x v="69"/>
    <x v="59"/>
    <x v="8"/>
    <x v="2"/>
    <x v="3"/>
  </r>
  <r>
    <x v="4"/>
    <x v="5"/>
    <x v="90"/>
    <x v="69"/>
    <x v="23"/>
    <x v="2"/>
    <x v="1"/>
    <x v="5"/>
  </r>
  <r>
    <x v="4"/>
    <x v="5"/>
    <x v="91"/>
    <x v="69"/>
    <x v="60"/>
    <x v="22"/>
    <x v="2"/>
    <x v="0"/>
  </r>
  <r>
    <x v="1"/>
    <x v="1"/>
    <x v="92"/>
    <x v="69"/>
    <x v="30"/>
    <x v="7"/>
    <x v="4"/>
    <x v="4"/>
  </r>
  <r>
    <x v="2"/>
    <x v="1"/>
    <x v="93"/>
    <x v="70"/>
    <x v="61"/>
    <x v="23"/>
    <x v="1"/>
    <x v="2"/>
  </r>
  <r>
    <x v="5"/>
    <x v="1"/>
    <x v="94"/>
    <x v="70"/>
    <x v="62"/>
    <x v="17"/>
    <x v="0"/>
    <x v="0"/>
  </r>
  <r>
    <x v="6"/>
    <x v="1"/>
    <x v="95"/>
    <x v="71"/>
    <x v="63"/>
    <x v="9"/>
    <x v="5"/>
    <x v="4"/>
  </r>
  <r>
    <x v="5"/>
    <x v="1"/>
    <x v="96"/>
    <x v="71"/>
    <x v="64"/>
    <x v="4"/>
    <x v="3"/>
    <x v="4"/>
  </r>
  <r>
    <x v="0"/>
    <x v="5"/>
    <x v="97"/>
    <x v="71"/>
    <x v="65"/>
    <x v="1"/>
    <x v="0"/>
    <x v="0"/>
  </r>
  <r>
    <x v="6"/>
    <x v="5"/>
    <x v="98"/>
    <x v="72"/>
    <x v="56"/>
    <x v="11"/>
    <x v="2"/>
    <x v="0"/>
  </r>
  <r>
    <x v="1"/>
    <x v="5"/>
    <x v="99"/>
    <x v="73"/>
    <x v="37"/>
    <x v="2"/>
    <x v="1"/>
    <x v="3"/>
  </r>
  <r>
    <x v="2"/>
    <x v="1"/>
    <x v="100"/>
    <x v="74"/>
    <x v="66"/>
    <x v="24"/>
    <x v="0"/>
    <x v="5"/>
  </r>
  <r>
    <x v="5"/>
    <x v="5"/>
    <x v="101"/>
    <x v="74"/>
    <x v="67"/>
    <x v="4"/>
    <x v="3"/>
    <x v="5"/>
  </r>
  <r>
    <x v="5"/>
    <x v="5"/>
    <x v="102"/>
    <x v="75"/>
    <x v="68"/>
    <x v="11"/>
    <x v="2"/>
    <x v="5"/>
  </r>
  <r>
    <x v="1"/>
    <x v="5"/>
    <x v="103"/>
    <x v="76"/>
    <x v="69"/>
    <x v="6"/>
    <x v="2"/>
    <x v="2"/>
  </r>
  <r>
    <x v="2"/>
    <x v="5"/>
    <x v="104"/>
    <x v="77"/>
    <x v="31"/>
    <x v="5"/>
    <x v="1"/>
    <x v="0"/>
  </r>
  <r>
    <x v="1"/>
    <x v="4"/>
    <x v="105"/>
    <x v="77"/>
    <x v="70"/>
    <x v="6"/>
    <x v="2"/>
    <x v="2"/>
  </r>
  <r>
    <x v="1"/>
    <x v="5"/>
    <x v="106"/>
    <x v="78"/>
    <x v="71"/>
    <x v="25"/>
    <x v="5"/>
    <x v="2"/>
  </r>
  <r>
    <x v="2"/>
    <x v="1"/>
    <x v="107"/>
    <x v="79"/>
    <x v="44"/>
    <x v="8"/>
    <x v="2"/>
    <x v="0"/>
  </r>
  <r>
    <x v="2"/>
    <x v="1"/>
    <x v="108"/>
    <x v="80"/>
    <x v="72"/>
    <x v="6"/>
    <x v="2"/>
    <x v="3"/>
  </r>
  <r>
    <x v="4"/>
    <x v="5"/>
    <x v="109"/>
    <x v="81"/>
    <x v="73"/>
    <x v="2"/>
    <x v="1"/>
    <x v="5"/>
  </r>
  <r>
    <x v="6"/>
    <x v="1"/>
    <x v="110"/>
    <x v="82"/>
    <x v="15"/>
    <x v="9"/>
    <x v="5"/>
    <x v="0"/>
  </r>
  <r>
    <x v="2"/>
    <x v="5"/>
    <x v="111"/>
    <x v="82"/>
    <x v="1"/>
    <x v="1"/>
    <x v="0"/>
    <x v="4"/>
  </r>
  <r>
    <x v="2"/>
    <x v="1"/>
    <x v="112"/>
    <x v="83"/>
    <x v="40"/>
    <x v="20"/>
    <x v="0"/>
    <x v="2"/>
  </r>
  <r>
    <x v="1"/>
    <x v="1"/>
    <x v="113"/>
    <x v="84"/>
    <x v="74"/>
    <x v="6"/>
    <x v="2"/>
    <x v="0"/>
  </r>
  <r>
    <x v="4"/>
    <x v="4"/>
    <x v="114"/>
    <x v="85"/>
    <x v="75"/>
    <x v="6"/>
    <x v="2"/>
    <x v="4"/>
  </r>
  <r>
    <x v="4"/>
    <x v="1"/>
    <x v="115"/>
    <x v="86"/>
    <x v="76"/>
    <x v="5"/>
    <x v="1"/>
    <x v="4"/>
  </r>
  <r>
    <x v="5"/>
    <x v="1"/>
    <x v="116"/>
    <x v="86"/>
    <x v="77"/>
    <x v="6"/>
    <x v="2"/>
    <x v="0"/>
  </r>
  <r>
    <x v="1"/>
    <x v="1"/>
    <x v="117"/>
    <x v="86"/>
    <x v="78"/>
    <x v="4"/>
    <x v="3"/>
    <x v="0"/>
  </r>
  <r>
    <x v="2"/>
    <x v="1"/>
    <x v="118"/>
    <x v="87"/>
    <x v="79"/>
    <x v="6"/>
    <x v="2"/>
    <x v="3"/>
  </r>
  <r>
    <x v="5"/>
    <x v="5"/>
    <x v="73"/>
    <x v="58"/>
    <x v="50"/>
    <x v="6"/>
    <x v="2"/>
    <x v="4"/>
  </r>
  <r>
    <x v="0"/>
    <x v="6"/>
    <x v="74"/>
    <x v="58"/>
    <x v="5"/>
    <x v="4"/>
    <x v="3"/>
    <x v="2"/>
  </r>
  <r>
    <x v="2"/>
    <x v="5"/>
    <x v="75"/>
    <x v="59"/>
    <x v="51"/>
    <x v="6"/>
    <x v="2"/>
    <x v="0"/>
  </r>
  <r>
    <x v="2"/>
    <x v="5"/>
    <x v="76"/>
    <x v="60"/>
    <x v="12"/>
    <x v="8"/>
    <x v="2"/>
    <x v="4"/>
  </r>
  <r>
    <x v="0"/>
    <x v="4"/>
    <x v="77"/>
    <x v="60"/>
    <x v="9"/>
    <x v="6"/>
    <x v="2"/>
    <x v="4"/>
  </r>
  <r>
    <x v="2"/>
    <x v="1"/>
    <x v="78"/>
    <x v="61"/>
    <x v="52"/>
    <x v="6"/>
    <x v="2"/>
    <x v="0"/>
  </r>
  <r>
    <x v="2"/>
    <x v="1"/>
    <x v="79"/>
    <x v="62"/>
    <x v="53"/>
    <x v="1"/>
    <x v="0"/>
    <x v="0"/>
  </r>
  <r>
    <x v="1"/>
    <x v="1"/>
    <x v="80"/>
    <x v="62"/>
    <x v="54"/>
    <x v="11"/>
    <x v="2"/>
    <x v="3"/>
  </r>
  <r>
    <x v="3"/>
    <x v="1"/>
    <x v="81"/>
    <x v="62"/>
    <x v="55"/>
    <x v="3"/>
    <x v="2"/>
    <x v="5"/>
  </r>
  <r>
    <x v="0"/>
    <x v="1"/>
    <x v="82"/>
    <x v="63"/>
    <x v="16"/>
    <x v="8"/>
    <x v="2"/>
    <x v="5"/>
  </r>
  <r>
    <x v="5"/>
    <x v="1"/>
    <x v="83"/>
    <x v="64"/>
    <x v="56"/>
    <x v="11"/>
    <x v="2"/>
    <x v="5"/>
  </r>
  <r>
    <x v="6"/>
    <x v="4"/>
    <x v="84"/>
    <x v="65"/>
    <x v="7"/>
    <x v="6"/>
    <x v="2"/>
    <x v="2"/>
  </r>
  <r>
    <x v="6"/>
    <x v="5"/>
    <x v="85"/>
    <x v="66"/>
    <x v="57"/>
    <x v="8"/>
    <x v="2"/>
    <x v="0"/>
  </r>
  <r>
    <x v="1"/>
    <x v="1"/>
    <x v="86"/>
    <x v="67"/>
    <x v="8"/>
    <x v="7"/>
    <x v="4"/>
    <x v="2"/>
  </r>
  <r>
    <x v="2"/>
    <x v="5"/>
    <x v="87"/>
    <x v="68"/>
    <x v="58"/>
    <x v="8"/>
    <x v="2"/>
    <x v="2"/>
  </r>
  <r>
    <x v="3"/>
    <x v="5"/>
    <x v="88"/>
    <x v="68"/>
    <x v="17"/>
    <x v="10"/>
    <x v="0"/>
    <x v="0"/>
  </r>
  <r>
    <x v="4"/>
    <x v="5"/>
    <x v="89"/>
    <x v="69"/>
    <x v="59"/>
    <x v="8"/>
    <x v="2"/>
    <x v="3"/>
  </r>
  <r>
    <x v="4"/>
    <x v="5"/>
    <x v="90"/>
    <x v="69"/>
    <x v="23"/>
    <x v="2"/>
    <x v="1"/>
    <x v="5"/>
  </r>
  <r>
    <x v="4"/>
    <x v="5"/>
    <x v="91"/>
    <x v="69"/>
    <x v="60"/>
    <x v="22"/>
    <x v="2"/>
    <x v="0"/>
  </r>
  <r>
    <x v="1"/>
    <x v="1"/>
    <x v="92"/>
    <x v="69"/>
    <x v="30"/>
    <x v="7"/>
    <x v="4"/>
    <x v="4"/>
  </r>
  <r>
    <x v="2"/>
    <x v="1"/>
    <x v="93"/>
    <x v="70"/>
    <x v="61"/>
    <x v="23"/>
    <x v="1"/>
    <x v="2"/>
  </r>
  <r>
    <x v="5"/>
    <x v="1"/>
    <x v="94"/>
    <x v="70"/>
    <x v="62"/>
    <x v="17"/>
    <x v="0"/>
    <x v="0"/>
  </r>
  <r>
    <x v="6"/>
    <x v="1"/>
    <x v="95"/>
    <x v="71"/>
    <x v="63"/>
    <x v="9"/>
    <x v="5"/>
    <x v="4"/>
  </r>
  <r>
    <x v="1"/>
    <x v="5"/>
    <x v="99"/>
    <x v="73"/>
    <x v="37"/>
    <x v="2"/>
    <x v="1"/>
    <x v="3"/>
  </r>
  <r>
    <x v="2"/>
    <x v="1"/>
    <x v="100"/>
    <x v="74"/>
    <x v="66"/>
    <x v="24"/>
    <x v="0"/>
    <x v="5"/>
  </r>
  <r>
    <x v="5"/>
    <x v="5"/>
    <x v="101"/>
    <x v="74"/>
    <x v="67"/>
    <x v="4"/>
    <x v="3"/>
    <x v="5"/>
  </r>
  <r>
    <x v="5"/>
    <x v="5"/>
    <x v="102"/>
    <x v="75"/>
    <x v="68"/>
    <x v="11"/>
    <x v="2"/>
    <x v="5"/>
  </r>
  <r>
    <x v="1"/>
    <x v="5"/>
    <x v="103"/>
    <x v="76"/>
    <x v="69"/>
    <x v="6"/>
    <x v="2"/>
    <x v="2"/>
  </r>
  <r>
    <x v="2"/>
    <x v="5"/>
    <x v="104"/>
    <x v="77"/>
    <x v="31"/>
    <x v="5"/>
    <x v="1"/>
    <x v="0"/>
  </r>
  <r>
    <x v="1"/>
    <x v="4"/>
    <x v="105"/>
    <x v="77"/>
    <x v="70"/>
    <x v="6"/>
    <x v="2"/>
    <x v="2"/>
  </r>
  <r>
    <x v="1"/>
    <x v="5"/>
    <x v="106"/>
    <x v="78"/>
    <x v="71"/>
    <x v="25"/>
    <x v="5"/>
    <x v="2"/>
  </r>
  <r>
    <x v="2"/>
    <x v="1"/>
    <x v="107"/>
    <x v="79"/>
    <x v="44"/>
    <x v="8"/>
    <x v="2"/>
    <x v="0"/>
  </r>
  <r>
    <x v="2"/>
    <x v="1"/>
    <x v="108"/>
    <x v="80"/>
    <x v="72"/>
    <x v="6"/>
    <x v="2"/>
    <x v="3"/>
  </r>
  <r>
    <x v="4"/>
    <x v="5"/>
    <x v="109"/>
    <x v="81"/>
    <x v="73"/>
    <x v="2"/>
    <x v="1"/>
    <x v="5"/>
  </r>
  <r>
    <x v="6"/>
    <x v="1"/>
    <x v="110"/>
    <x v="82"/>
    <x v="15"/>
    <x v="9"/>
    <x v="5"/>
    <x v="0"/>
  </r>
  <r>
    <x v="2"/>
    <x v="5"/>
    <x v="111"/>
    <x v="82"/>
    <x v="1"/>
    <x v="1"/>
    <x v="0"/>
    <x v="4"/>
  </r>
  <r>
    <x v="2"/>
    <x v="1"/>
    <x v="112"/>
    <x v="83"/>
    <x v="40"/>
    <x v="20"/>
    <x v="0"/>
    <x v="2"/>
  </r>
  <r>
    <x v="1"/>
    <x v="1"/>
    <x v="113"/>
    <x v="84"/>
    <x v="74"/>
    <x v="6"/>
    <x v="2"/>
    <x v="0"/>
  </r>
  <r>
    <x v="4"/>
    <x v="4"/>
    <x v="114"/>
    <x v="85"/>
    <x v="75"/>
    <x v="6"/>
    <x v="2"/>
    <x v="4"/>
  </r>
  <r>
    <x v="4"/>
    <x v="1"/>
    <x v="115"/>
    <x v="86"/>
    <x v="76"/>
    <x v="5"/>
    <x v="1"/>
    <x v="4"/>
  </r>
  <r>
    <x v="5"/>
    <x v="1"/>
    <x v="116"/>
    <x v="86"/>
    <x v="77"/>
    <x v="6"/>
    <x v="2"/>
    <x v="0"/>
  </r>
  <r>
    <x v="1"/>
    <x v="1"/>
    <x v="117"/>
    <x v="86"/>
    <x v="78"/>
    <x v="4"/>
    <x v="3"/>
    <x v="0"/>
  </r>
  <r>
    <x v="2"/>
    <x v="1"/>
    <x v="118"/>
    <x v="87"/>
    <x v="79"/>
    <x v="6"/>
    <x v="2"/>
    <x v="3"/>
  </r>
  <r>
    <x v="5"/>
    <x v="5"/>
    <x v="73"/>
    <x v="58"/>
    <x v="50"/>
    <x v="6"/>
    <x v="2"/>
    <x v="4"/>
  </r>
  <r>
    <x v="0"/>
    <x v="6"/>
    <x v="74"/>
    <x v="58"/>
    <x v="5"/>
    <x v="4"/>
    <x v="3"/>
    <x v="2"/>
  </r>
  <r>
    <x v="2"/>
    <x v="5"/>
    <x v="75"/>
    <x v="59"/>
    <x v="51"/>
    <x v="6"/>
    <x v="2"/>
    <x v="0"/>
  </r>
  <r>
    <x v="2"/>
    <x v="5"/>
    <x v="76"/>
    <x v="60"/>
    <x v="12"/>
    <x v="8"/>
    <x v="2"/>
    <x v="4"/>
  </r>
  <r>
    <x v="0"/>
    <x v="4"/>
    <x v="77"/>
    <x v="60"/>
    <x v="9"/>
    <x v="6"/>
    <x v="2"/>
    <x v="4"/>
  </r>
  <r>
    <x v="2"/>
    <x v="1"/>
    <x v="78"/>
    <x v="61"/>
    <x v="52"/>
    <x v="6"/>
    <x v="2"/>
    <x v="0"/>
  </r>
  <r>
    <x v="2"/>
    <x v="1"/>
    <x v="79"/>
    <x v="62"/>
    <x v="53"/>
    <x v="1"/>
    <x v="0"/>
    <x v="0"/>
  </r>
  <r>
    <x v="1"/>
    <x v="1"/>
    <x v="80"/>
    <x v="62"/>
    <x v="54"/>
    <x v="11"/>
    <x v="2"/>
    <x v="3"/>
  </r>
  <r>
    <x v="3"/>
    <x v="1"/>
    <x v="81"/>
    <x v="62"/>
    <x v="55"/>
    <x v="3"/>
    <x v="2"/>
    <x v="5"/>
  </r>
  <r>
    <x v="0"/>
    <x v="1"/>
    <x v="82"/>
    <x v="63"/>
    <x v="16"/>
    <x v="8"/>
    <x v="2"/>
    <x v="5"/>
  </r>
  <r>
    <x v="5"/>
    <x v="1"/>
    <x v="83"/>
    <x v="64"/>
    <x v="56"/>
    <x v="11"/>
    <x v="2"/>
    <x v="5"/>
  </r>
  <r>
    <x v="6"/>
    <x v="4"/>
    <x v="84"/>
    <x v="65"/>
    <x v="7"/>
    <x v="6"/>
    <x v="2"/>
    <x v="2"/>
  </r>
  <r>
    <x v="6"/>
    <x v="5"/>
    <x v="85"/>
    <x v="66"/>
    <x v="57"/>
    <x v="8"/>
    <x v="2"/>
    <x v="0"/>
  </r>
  <r>
    <x v="1"/>
    <x v="1"/>
    <x v="86"/>
    <x v="67"/>
    <x v="8"/>
    <x v="7"/>
    <x v="4"/>
    <x v="2"/>
  </r>
  <r>
    <x v="2"/>
    <x v="5"/>
    <x v="87"/>
    <x v="68"/>
    <x v="58"/>
    <x v="8"/>
    <x v="2"/>
    <x v="2"/>
  </r>
  <r>
    <x v="3"/>
    <x v="5"/>
    <x v="88"/>
    <x v="68"/>
    <x v="17"/>
    <x v="10"/>
    <x v="0"/>
    <x v="0"/>
  </r>
  <r>
    <x v="4"/>
    <x v="5"/>
    <x v="89"/>
    <x v="69"/>
    <x v="59"/>
    <x v="8"/>
    <x v="2"/>
    <x v="3"/>
  </r>
  <r>
    <x v="4"/>
    <x v="5"/>
    <x v="90"/>
    <x v="69"/>
    <x v="23"/>
    <x v="2"/>
    <x v="1"/>
    <x v="5"/>
  </r>
  <r>
    <x v="4"/>
    <x v="5"/>
    <x v="91"/>
    <x v="69"/>
    <x v="60"/>
    <x v="22"/>
    <x v="2"/>
    <x v="0"/>
  </r>
  <r>
    <x v="1"/>
    <x v="1"/>
    <x v="92"/>
    <x v="69"/>
    <x v="30"/>
    <x v="7"/>
    <x v="4"/>
    <x v="4"/>
  </r>
  <r>
    <x v="2"/>
    <x v="1"/>
    <x v="93"/>
    <x v="70"/>
    <x v="61"/>
    <x v="23"/>
    <x v="1"/>
    <x v="2"/>
  </r>
  <r>
    <x v="5"/>
    <x v="1"/>
    <x v="94"/>
    <x v="70"/>
    <x v="62"/>
    <x v="17"/>
    <x v="0"/>
    <x v="0"/>
  </r>
  <r>
    <x v="6"/>
    <x v="1"/>
    <x v="95"/>
    <x v="71"/>
    <x v="63"/>
    <x v="9"/>
    <x v="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H3:AI13" firstHeaderRow="1" firstDataRow="1" firstDataCol="1"/>
  <pivotFields count="8">
    <pivotField showAll="0">
      <items count="8">
        <item x="0"/>
        <item x="3"/>
        <item x="2"/>
        <item x="4"/>
        <item x="1"/>
        <item x="5"/>
        <item x="6"/>
        <item t="default"/>
      </items>
    </pivotField>
    <pivotField axis="axisRow" showAll="0" sortType="descending">
      <items count="10">
        <item x="8"/>
        <item x="3"/>
        <item x="4"/>
        <item x="2"/>
        <item x="1"/>
        <item x="7"/>
        <item x="5"/>
        <item x="6"/>
        <item x="0"/>
        <item t="default"/>
      </items>
      <autoSortScope>
        <pivotArea dataOnly="0" outline="0" fieldPosition="0">
          <references count="1">
            <reference field="4294967294" count="1" selected="0">
              <x v="0"/>
            </reference>
          </references>
        </pivotArea>
      </autoSortScope>
    </pivotField>
    <pivotField dataField="1" numFmtId="165" showAll="0"/>
    <pivotField numFmtId="14" showAll="0"/>
    <pivotField showAll="0"/>
    <pivotField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showAll="0"/>
    <pivotField showAll="0"/>
  </pivotFields>
  <rowFields count="1">
    <field x="1"/>
  </rowFields>
  <rowItems count="10">
    <i>
      <x v="6"/>
    </i>
    <i>
      <x v="4"/>
    </i>
    <i>
      <x v="2"/>
    </i>
    <i>
      <x v="3"/>
    </i>
    <i>
      <x/>
    </i>
    <i>
      <x v="7"/>
    </i>
    <i>
      <x v="8"/>
    </i>
    <i>
      <x v="5"/>
    </i>
    <i>
      <x v="1"/>
    </i>
    <i t="grand">
      <x/>
    </i>
  </rowItems>
  <colItems count="1">
    <i/>
  </colItems>
  <dataFields count="1">
    <dataField name="Sum of Loans" fld="2" baseField="1" baseItem="0" numFmtId="164"/>
  </dataFields>
  <formats count="2">
    <format dxfId="347">
      <pivotArea outline="0" collapsedLevelsAreSubtotals="1" fieldPosition="0"/>
    </format>
    <format dxfId="346">
      <pivotArea dataOnly="0" labelOnly="1" outline="0" axis="axisValues" fieldPosition="0"/>
    </format>
  </formats>
  <conditionalFormats count="1">
    <conditionalFormat type="all" priority="4">
      <pivotAreas count="1">
        <pivotArea type="data" collapsedLevelsAreSubtotals="1" fieldPosition="0">
          <references count="2">
            <reference field="4294967294" count="1" selected="0">
              <x v="0"/>
            </reference>
            <reference field="1" count="9">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B1:AC12" firstHeaderRow="1" firstDataRow="1" firstDataCol="1"/>
  <pivotFields count="8">
    <pivotField showAll="0">
      <items count="8">
        <item x="0"/>
        <item x="3"/>
        <item x="2"/>
        <item x="4"/>
        <item x="1"/>
        <item x="5"/>
        <item x="6"/>
        <item t="default"/>
      </items>
    </pivotField>
    <pivotField showAll="0">
      <items count="10">
        <item x="8"/>
        <item x="3"/>
        <item x="4"/>
        <item x="2"/>
        <item x="1"/>
        <item x="7"/>
        <item x="5"/>
        <item x="6"/>
        <item x="0"/>
        <item t="default"/>
      </items>
    </pivotField>
    <pivotField dataField="1" numFmtId="165" showAll="0"/>
    <pivotField numFmtId="14" showAll="0"/>
    <pivotField axis="axisRow" showAll="0" measureFilter="1">
      <items count="118">
        <item x="102"/>
        <item x="31"/>
        <item x="43"/>
        <item x="93"/>
        <item x="64"/>
        <item x="65"/>
        <item x="52"/>
        <item x="105"/>
        <item x="37"/>
        <item x="11"/>
        <item x="12"/>
        <item x="99"/>
        <item x="58"/>
        <item x="103"/>
        <item x="25"/>
        <item x="36"/>
        <item x="44"/>
        <item x="78"/>
        <item x="38"/>
        <item x="8"/>
        <item x="35"/>
        <item x="116"/>
        <item x="29"/>
        <item x="9"/>
        <item x="74"/>
        <item x="51"/>
        <item x="7"/>
        <item x="114"/>
        <item x="46"/>
        <item x="28"/>
        <item x="47"/>
        <item x="63"/>
        <item x="33"/>
        <item x="19"/>
        <item x="2"/>
        <item x="111"/>
        <item x="22"/>
        <item x="61"/>
        <item x="40"/>
        <item x="48"/>
        <item x="82"/>
        <item x="62"/>
        <item x="49"/>
        <item x="94"/>
        <item x="59"/>
        <item x="83"/>
        <item x="21"/>
        <item x="30"/>
        <item x="1"/>
        <item x="66"/>
        <item x="92"/>
        <item x="101"/>
        <item x="15"/>
        <item x="97"/>
        <item x="73"/>
        <item x="75"/>
        <item x="54"/>
        <item x="20"/>
        <item x="5"/>
        <item x="53"/>
        <item x="96"/>
        <item x="98"/>
        <item x="79"/>
        <item x="67"/>
        <item x="55"/>
        <item x="0"/>
        <item x="70"/>
        <item x="113"/>
        <item x="16"/>
        <item x="100"/>
        <item x="23"/>
        <item x="57"/>
        <item x="3"/>
        <item x="71"/>
        <item x="108"/>
        <item x="17"/>
        <item x="18"/>
        <item x="90"/>
        <item x="89"/>
        <item x="88"/>
        <item x="72"/>
        <item x="41"/>
        <item x="81"/>
        <item x="60"/>
        <item x="86"/>
        <item x="14"/>
        <item x="24"/>
        <item x="42"/>
        <item x="26"/>
        <item x="115"/>
        <item x="10"/>
        <item x="27"/>
        <item x="32"/>
        <item x="84"/>
        <item x="80"/>
        <item x="104"/>
        <item x="50"/>
        <item x="95"/>
        <item x="110"/>
        <item x="106"/>
        <item x="68"/>
        <item x="13"/>
        <item x="109"/>
        <item x="56"/>
        <item x="85"/>
        <item x="87"/>
        <item x="77"/>
        <item x="112"/>
        <item x="6"/>
        <item x="76"/>
        <item x="107"/>
        <item x="91"/>
        <item x="45"/>
        <item x="34"/>
        <item x="39"/>
        <item x="4"/>
        <item x="69"/>
        <item t="default"/>
      </items>
    </pivotField>
    <pivotField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showAll="0">
      <items count="7">
        <item x="4"/>
        <item x="3"/>
        <item x="0"/>
        <item x="5"/>
        <item x="2"/>
        <item x="1"/>
        <item t="default"/>
      </items>
    </pivotField>
    <pivotField showAll="0">
      <items count="7">
        <item x="1"/>
        <item x="5"/>
        <item x="0"/>
        <item x="2"/>
        <item x="3"/>
        <item x="4"/>
        <item t="default"/>
      </items>
    </pivotField>
  </pivotFields>
  <rowFields count="1">
    <field x="4"/>
  </rowFields>
  <rowItems count="11">
    <i>
      <x v="1"/>
    </i>
    <i>
      <x v="9"/>
    </i>
    <i>
      <x v="10"/>
    </i>
    <i>
      <x v="20"/>
    </i>
    <i>
      <x v="23"/>
    </i>
    <i>
      <x v="26"/>
    </i>
    <i>
      <x v="48"/>
    </i>
    <i>
      <x v="58"/>
    </i>
    <i>
      <x v="70"/>
    </i>
    <i>
      <x v="75"/>
    </i>
    <i t="grand">
      <x/>
    </i>
  </rowItems>
  <colItems count="1">
    <i/>
  </colItems>
  <dataFields count="1">
    <dataField name="Sum of Loans" fld="2" baseField="0" baseItem="0" numFmtId="164"/>
  </dataFields>
  <formats count="2">
    <format dxfId="349">
      <pivotArea outline="0" collapsedLevelsAreSubtotals="1" fieldPosition="0"/>
    </format>
    <format dxfId="348">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5">
  <location ref="Y1:Z31" firstHeaderRow="1" firstDataRow="1" firstDataCol="1"/>
  <pivotFields count="8">
    <pivotField showAll="0">
      <items count="8">
        <item x="0"/>
        <item x="3"/>
        <item x="2"/>
        <item x="4"/>
        <item x="1"/>
        <item x="5"/>
        <item x="6"/>
        <item t="default"/>
      </items>
    </pivotField>
    <pivotField showAll="0">
      <items count="10">
        <item x="8"/>
        <item x="3"/>
        <item x="4"/>
        <item x="2"/>
        <item x="1"/>
        <item x="7"/>
        <item x="5"/>
        <item x="6"/>
        <item x="0"/>
        <item t="default"/>
      </items>
    </pivotField>
    <pivotField dataField="1" numFmtId="165" showAll="0"/>
    <pivotField numFmtId="14" showAll="0"/>
    <pivotField showAll="0"/>
    <pivotField axis="axisRow"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showAll="0">
      <items count="7">
        <item x="4"/>
        <item x="3"/>
        <item x="0"/>
        <item x="5"/>
        <item x="2"/>
        <item x="1"/>
        <item t="default"/>
      </items>
    </pivotField>
    <pivotField showAll="0"/>
  </pivotFields>
  <rowFields count="1">
    <field x="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Loans" fld="2" baseField="0" baseItem="0" numFmtId="164"/>
  </dataFields>
  <formats count="2">
    <format dxfId="351">
      <pivotArea outline="0" collapsedLevelsAreSubtotals="1" fieldPosition="0"/>
    </format>
    <format dxfId="350">
      <pivotArea dataOnly="0" labelOnly="1" outline="0" axis="axisValues" fieldPosition="0"/>
    </format>
  </formats>
  <chartFormats count="2">
    <chartFormat chart="6"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S1:T8" firstHeaderRow="1" firstDataRow="1" firstDataCol="1"/>
  <pivotFields count="8">
    <pivotField showAll="0">
      <items count="8">
        <item x="0"/>
        <item x="3"/>
        <item x="2"/>
        <item x="4"/>
        <item x="1"/>
        <item x="5"/>
        <item x="6"/>
        <item t="default"/>
      </items>
    </pivotField>
    <pivotField showAll="0">
      <items count="10">
        <item x="8"/>
        <item x="3"/>
        <item x="4"/>
        <item x="2"/>
        <item x="1"/>
        <item x="7"/>
        <item x="5"/>
        <item x="6"/>
        <item x="0"/>
        <item t="default"/>
      </items>
    </pivotField>
    <pivotField dataField="1" numFmtId="165" showAll="0"/>
    <pivotField numFmtId="14" showAll="0"/>
    <pivotField showAll="0"/>
    <pivotField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showAll="0">
      <items count="7">
        <item x="4"/>
        <item x="3"/>
        <item x="0"/>
        <item x="5"/>
        <item x="2"/>
        <item x="1"/>
        <item t="default"/>
      </items>
    </pivotField>
    <pivotField axis="axisRow" showAll="0">
      <items count="7">
        <item x="1"/>
        <item x="5"/>
        <item x="0"/>
        <item x="2"/>
        <item x="3"/>
        <item x="4"/>
        <item t="default"/>
      </items>
    </pivotField>
  </pivotFields>
  <rowFields count="1">
    <field x="7"/>
  </rowFields>
  <rowItems count="7">
    <i>
      <x/>
    </i>
    <i>
      <x v="1"/>
    </i>
    <i>
      <x v="2"/>
    </i>
    <i>
      <x v="3"/>
    </i>
    <i>
      <x v="4"/>
    </i>
    <i>
      <x v="5"/>
    </i>
    <i t="grand">
      <x/>
    </i>
  </rowItems>
  <colItems count="1">
    <i/>
  </colItems>
  <dataFields count="1">
    <dataField name="Sum of Loans" fld="2" baseField="0" baseItem="0" numFmtId="164"/>
  </dataFields>
  <formats count="2">
    <format dxfId="353">
      <pivotArea outline="0" collapsedLevelsAreSubtotals="1" fieldPosition="0"/>
    </format>
    <format dxfId="352">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M1:N8" firstHeaderRow="1" firstDataRow="1" firstDataCol="1"/>
  <pivotFields count="8">
    <pivotField showAll="0">
      <items count="8">
        <item x="0"/>
        <item x="3"/>
        <item x="2"/>
        <item x="4"/>
        <item x="1"/>
        <item x="5"/>
        <item x="6"/>
        <item t="default"/>
      </items>
    </pivotField>
    <pivotField showAll="0">
      <items count="10">
        <item x="8"/>
        <item x="3"/>
        <item x="4"/>
        <item x="2"/>
        <item x="1"/>
        <item x="7"/>
        <item x="5"/>
        <item x="6"/>
        <item x="0"/>
        <item t="default"/>
      </items>
    </pivotField>
    <pivotField dataField="1" numFmtId="165" showAll="0"/>
    <pivotField numFmtId="14" showAll="0"/>
    <pivotField showAll="0"/>
    <pivotField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axis="axisRow" showAll="0">
      <items count="7">
        <item x="4"/>
        <item x="3"/>
        <item x="0"/>
        <item x="5"/>
        <item x="2"/>
        <item x="1"/>
        <item t="default"/>
      </items>
    </pivotField>
    <pivotField showAll="0"/>
  </pivotFields>
  <rowFields count="1">
    <field x="6"/>
  </rowFields>
  <rowItems count="7">
    <i>
      <x/>
    </i>
    <i>
      <x v="1"/>
    </i>
    <i>
      <x v="2"/>
    </i>
    <i>
      <x v="3"/>
    </i>
    <i>
      <x v="4"/>
    </i>
    <i>
      <x v="5"/>
    </i>
    <i t="grand">
      <x/>
    </i>
  </rowItems>
  <colItems count="1">
    <i/>
  </colItems>
  <dataFields count="1">
    <dataField name="Sum of Loans" fld="2" baseField="0" baseItem="0" numFmtId="164"/>
  </dataFields>
  <formats count="3">
    <format dxfId="356">
      <pivotArea dataOnly="0" outline="0" axis="axisValues" fieldPosition="0"/>
    </format>
    <format dxfId="355">
      <pivotArea outline="0" collapsedLevelsAreSubtotals="1" fieldPosition="0"/>
    </format>
    <format dxfId="354">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Q1:AQ2" firstHeaderRow="1" firstDataRow="1" firstDataCol="0"/>
  <pivotFields count="8">
    <pivotField showAll="0">
      <items count="8">
        <item x="0"/>
        <item x="3"/>
        <item x="2"/>
        <item x="4"/>
        <item x="1"/>
        <item x="5"/>
        <item x="6"/>
        <item t="default"/>
      </items>
    </pivotField>
    <pivotField showAll="0">
      <items count="10">
        <item x="8"/>
        <item x="3"/>
        <item x="4"/>
        <item x="2"/>
        <item x="1"/>
        <item x="7"/>
        <item x="5"/>
        <item x="6"/>
        <item x="0"/>
        <item t="default"/>
      </items>
    </pivotField>
    <pivotField dataField="1" numFmtId="165" showAll="0"/>
    <pivotField numFmtId="14" showAll="0"/>
    <pivotField showAll="0"/>
    <pivotField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showAll="0">
      <items count="7">
        <item x="4"/>
        <item x="3"/>
        <item x="0"/>
        <item x="5"/>
        <item x="2"/>
        <item x="1"/>
        <item t="default"/>
      </items>
    </pivotField>
    <pivotField showAll="0">
      <items count="7">
        <item x="1"/>
        <item x="5"/>
        <item x="0"/>
        <item x="2"/>
        <item x="3"/>
        <item x="4"/>
        <item t="default"/>
      </items>
    </pivotField>
  </pivotFields>
  <rowItems count="1">
    <i/>
  </rowItems>
  <colItems count="1">
    <i/>
  </colItems>
  <dataFields count="1">
    <dataField name="Sum of Loans" fld="2" baseField="0" baseItem="0" numFmtId="164"/>
  </dataFields>
  <formats count="2">
    <format dxfId="358">
      <pivotArea outline="0" collapsedLevelsAreSubtotals="1" fieldPosition="0"/>
    </format>
    <format dxfId="3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G1:H11" firstHeaderRow="1" firstDataRow="1" firstDataCol="1"/>
  <pivotFields count="8">
    <pivotField showAll="0">
      <items count="8">
        <item x="0"/>
        <item x="3"/>
        <item x="2"/>
        <item x="4"/>
        <item x="1"/>
        <item x="5"/>
        <item x="6"/>
        <item t="default"/>
      </items>
    </pivotField>
    <pivotField axis="axisRow" showAll="0">
      <items count="10">
        <item x="8"/>
        <item x="3"/>
        <item x="4"/>
        <item x="2"/>
        <item x="1"/>
        <item x="7"/>
        <item x="5"/>
        <item x="6"/>
        <item x="0"/>
        <item t="default"/>
      </items>
    </pivotField>
    <pivotField dataField="1" numFmtId="165" showAll="0"/>
    <pivotField numFmtId="14" showAll="0"/>
    <pivotField showAll="0"/>
    <pivotField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showAll="0"/>
    <pivotField showAll="0"/>
  </pivotFields>
  <rowFields count="1">
    <field x="1"/>
  </rowFields>
  <rowItems count="10">
    <i>
      <x/>
    </i>
    <i>
      <x v="1"/>
    </i>
    <i>
      <x v="2"/>
    </i>
    <i>
      <x v="3"/>
    </i>
    <i>
      <x v="4"/>
    </i>
    <i>
      <x v="5"/>
    </i>
    <i>
      <x v="6"/>
    </i>
    <i>
      <x v="7"/>
    </i>
    <i>
      <x v="8"/>
    </i>
    <i t="grand">
      <x/>
    </i>
  </rowItems>
  <colItems count="1">
    <i/>
  </colItems>
  <dataFields count="1">
    <dataField name="Sum of Loans" fld="2" showDataAs="percentOfTotal" baseField="1" baseItem="0" numFmtId="9"/>
  </dataFields>
  <formats count="1">
    <format dxfId="359">
      <pivotArea outline="0" collapsedLevelsAreSubtotals="1" fieldPosition="0"/>
    </format>
  </formats>
  <chartFormats count="20">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 count="1" selected="0">
            <x v="0"/>
          </reference>
        </references>
      </pivotArea>
    </chartFormat>
    <chartFormat chart="3" format="13">
      <pivotArea type="data" outline="0" fieldPosition="0">
        <references count="2">
          <reference field="4294967294" count="1" selected="0">
            <x v="0"/>
          </reference>
          <reference field="1" count="1" selected="0">
            <x v="1"/>
          </reference>
        </references>
      </pivotArea>
    </chartFormat>
    <chartFormat chart="3" format="14">
      <pivotArea type="data" outline="0" fieldPosition="0">
        <references count="2">
          <reference field="4294967294" count="1" selected="0">
            <x v="0"/>
          </reference>
          <reference field="1" count="1" selected="0">
            <x v="2"/>
          </reference>
        </references>
      </pivotArea>
    </chartFormat>
    <chartFormat chart="3" format="15">
      <pivotArea type="data" outline="0" fieldPosition="0">
        <references count="2">
          <reference field="4294967294" count="1" selected="0">
            <x v="0"/>
          </reference>
          <reference field="1" count="1" selected="0">
            <x v="3"/>
          </reference>
        </references>
      </pivotArea>
    </chartFormat>
    <chartFormat chart="3" format="16">
      <pivotArea type="data" outline="0" fieldPosition="0">
        <references count="2">
          <reference field="4294967294" count="1" selected="0">
            <x v="0"/>
          </reference>
          <reference field="1" count="1" selected="0">
            <x v="4"/>
          </reference>
        </references>
      </pivotArea>
    </chartFormat>
    <chartFormat chart="3" format="17">
      <pivotArea type="data" outline="0" fieldPosition="0">
        <references count="2">
          <reference field="4294967294" count="1" selected="0">
            <x v="0"/>
          </reference>
          <reference field="1" count="1" selected="0">
            <x v="5"/>
          </reference>
        </references>
      </pivotArea>
    </chartFormat>
    <chartFormat chart="3" format="18">
      <pivotArea type="data" outline="0" fieldPosition="0">
        <references count="2">
          <reference field="4294967294" count="1" selected="0">
            <x v="0"/>
          </reference>
          <reference field="1" count="1" selected="0">
            <x v="6"/>
          </reference>
        </references>
      </pivotArea>
    </chartFormat>
    <chartFormat chart="3" format="19">
      <pivotArea type="data" outline="0" fieldPosition="0">
        <references count="2">
          <reference field="4294967294" count="1" selected="0">
            <x v="0"/>
          </reference>
          <reference field="1" count="1" selected="0">
            <x v="7"/>
          </reference>
        </references>
      </pivotArea>
    </chartFormat>
    <chartFormat chart="3" format="20">
      <pivotArea type="data" outline="0" fieldPosition="0">
        <references count="2">
          <reference field="4294967294" count="1" selected="0">
            <x v="0"/>
          </reference>
          <reference field="1" count="1" selected="0">
            <x v="8"/>
          </reference>
        </references>
      </pivotArea>
    </chartFormat>
    <chartFormat chart="5" format="31" series="1">
      <pivotArea type="data" outline="0" fieldPosition="0">
        <references count="1">
          <reference field="4294967294" count="1" selected="0">
            <x v="0"/>
          </reference>
        </references>
      </pivotArea>
    </chartFormat>
    <chartFormat chart="5" format="32">
      <pivotArea type="data" outline="0" fieldPosition="0">
        <references count="2">
          <reference field="4294967294" count="1" selected="0">
            <x v="0"/>
          </reference>
          <reference field="1" count="1" selected="0">
            <x v="0"/>
          </reference>
        </references>
      </pivotArea>
    </chartFormat>
    <chartFormat chart="5" format="33">
      <pivotArea type="data" outline="0" fieldPosition="0">
        <references count="2">
          <reference field="4294967294" count="1" selected="0">
            <x v="0"/>
          </reference>
          <reference field="1" count="1" selected="0">
            <x v="1"/>
          </reference>
        </references>
      </pivotArea>
    </chartFormat>
    <chartFormat chart="5" format="34">
      <pivotArea type="data" outline="0" fieldPosition="0">
        <references count="2">
          <reference field="4294967294" count="1" selected="0">
            <x v="0"/>
          </reference>
          <reference field="1" count="1" selected="0">
            <x v="2"/>
          </reference>
        </references>
      </pivotArea>
    </chartFormat>
    <chartFormat chart="5" format="35">
      <pivotArea type="data" outline="0" fieldPosition="0">
        <references count="2">
          <reference field="4294967294" count="1" selected="0">
            <x v="0"/>
          </reference>
          <reference field="1" count="1" selected="0">
            <x v="3"/>
          </reference>
        </references>
      </pivotArea>
    </chartFormat>
    <chartFormat chart="5" format="36">
      <pivotArea type="data" outline="0" fieldPosition="0">
        <references count="2">
          <reference field="4294967294" count="1" selected="0">
            <x v="0"/>
          </reference>
          <reference field="1" count="1" selected="0">
            <x v="4"/>
          </reference>
        </references>
      </pivotArea>
    </chartFormat>
    <chartFormat chart="5" format="37">
      <pivotArea type="data" outline="0" fieldPosition="0">
        <references count="2">
          <reference field="4294967294" count="1" selected="0">
            <x v="0"/>
          </reference>
          <reference field="1" count="1" selected="0">
            <x v="5"/>
          </reference>
        </references>
      </pivotArea>
    </chartFormat>
    <chartFormat chart="5" format="38">
      <pivotArea type="data" outline="0" fieldPosition="0">
        <references count="2">
          <reference field="4294967294" count="1" selected="0">
            <x v="0"/>
          </reference>
          <reference field="1" count="1" selected="0">
            <x v="6"/>
          </reference>
        </references>
      </pivotArea>
    </chartFormat>
    <chartFormat chart="5" format="39">
      <pivotArea type="data" outline="0" fieldPosition="0">
        <references count="2">
          <reference field="4294967294" count="1" selected="0">
            <x v="0"/>
          </reference>
          <reference field="1" count="1" selected="0">
            <x v="7"/>
          </reference>
        </references>
      </pivotArea>
    </chartFormat>
    <chartFormat chart="5" format="40">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B9" firstHeaderRow="1" firstDataRow="1" firstDataCol="1"/>
  <pivotFields count="8">
    <pivotField axis="axisRow" showAll="0">
      <items count="8">
        <item x="0"/>
        <item x="3"/>
        <item x="2"/>
        <item x="4"/>
        <item x="1"/>
        <item x="5"/>
        <item x="6"/>
        <item t="default"/>
      </items>
    </pivotField>
    <pivotField showAll="0">
      <items count="10">
        <item x="8"/>
        <item x="3"/>
        <item x="4"/>
        <item x="2"/>
        <item x="1"/>
        <item x="7"/>
        <item x="5"/>
        <item x="6"/>
        <item x="0"/>
        <item t="default"/>
      </items>
    </pivotField>
    <pivotField dataField="1" numFmtId="165" showAll="0"/>
    <pivotField numFmtId="14" showAll="0"/>
    <pivotField showAll="0"/>
    <pivotField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showAll="0"/>
    <pivotField showAll="0"/>
  </pivotFields>
  <rowFields count="1">
    <field x="0"/>
  </rowFields>
  <rowItems count="8">
    <i>
      <x/>
    </i>
    <i>
      <x v="1"/>
    </i>
    <i>
      <x v="2"/>
    </i>
    <i>
      <x v="3"/>
    </i>
    <i>
      <x v="4"/>
    </i>
    <i>
      <x v="5"/>
    </i>
    <i>
      <x v="6"/>
    </i>
    <i t="grand">
      <x/>
    </i>
  </rowItems>
  <colItems count="1">
    <i/>
  </colItems>
  <dataFields count="1">
    <dataField name="Sum of Loans" fld="2" baseField="0" baseItem="0" numFmtId="164"/>
  </dataFields>
  <formats count="2">
    <format dxfId="361">
      <pivotArea outline="0" collapsedLevelsAreSubtotals="1" fieldPosition="0"/>
    </format>
    <format dxfId="360">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D1:E11" firstHeaderRow="1" firstDataRow="1" firstDataCol="1"/>
  <pivotFields count="8">
    <pivotField showAll="0">
      <items count="8">
        <item x="0"/>
        <item x="3"/>
        <item x="2"/>
        <item x="4"/>
        <item x="1"/>
        <item x="5"/>
        <item x="6"/>
        <item t="default"/>
      </items>
    </pivotField>
    <pivotField axis="axisRow" showAll="0">
      <items count="10">
        <item x="8"/>
        <item x="3"/>
        <item x="4"/>
        <item x="2"/>
        <item x="1"/>
        <item x="7"/>
        <item x="5"/>
        <item x="6"/>
        <item x="0"/>
        <item t="default"/>
      </items>
    </pivotField>
    <pivotField dataField="1" numFmtId="165" showAll="0"/>
    <pivotField numFmtId="14" showAll="0"/>
    <pivotField showAll="0"/>
    <pivotField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showAll="0"/>
    <pivotField showAll="0"/>
  </pivotFields>
  <rowFields count="1">
    <field x="1"/>
  </rowFields>
  <rowItems count="10">
    <i>
      <x/>
    </i>
    <i>
      <x v="1"/>
    </i>
    <i>
      <x v="2"/>
    </i>
    <i>
      <x v="3"/>
    </i>
    <i>
      <x v="4"/>
    </i>
    <i>
      <x v="5"/>
    </i>
    <i>
      <x v="6"/>
    </i>
    <i>
      <x v="7"/>
    </i>
    <i>
      <x v="8"/>
    </i>
    <i t="grand">
      <x/>
    </i>
  </rowItems>
  <colItems count="1">
    <i/>
  </colItems>
  <dataFields count="1">
    <dataField name="Sum of Loans" fld="2" baseField="0" baseItem="0" numFmtId="164"/>
  </dataFields>
  <formats count="2">
    <format dxfId="363">
      <pivotArea outline="0" collapsedLevelsAreSubtotals="1" fieldPosition="0"/>
    </format>
    <format dxfId="362">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E1:AF9" firstHeaderRow="1" firstDataRow="1" firstDataCol="1"/>
  <pivotFields count="8">
    <pivotField axis="axisRow" showAll="0" sortType="descending">
      <items count="8">
        <item x="0"/>
        <item x="3"/>
        <item x="2"/>
        <item x="4"/>
        <item x="1"/>
        <item x="5"/>
        <item x="6"/>
        <item t="default"/>
      </items>
      <autoSortScope>
        <pivotArea dataOnly="0" outline="0" fieldPosition="0">
          <references count="1">
            <reference field="4294967294" count="1" selected="0">
              <x v="0"/>
            </reference>
          </references>
        </pivotArea>
      </autoSortScope>
    </pivotField>
    <pivotField showAll="0">
      <items count="10">
        <item x="8"/>
        <item x="3"/>
        <item x="4"/>
        <item x="2"/>
        <item x="1"/>
        <item x="7"/>
        <item x="5"/>
        <item x="6"/>
        <item x="0"/>
        <item t="default"/>
      </items>
    </pivotField>
    <pivotField dataField="1" numFmtId="165" showAll="0"/>
    <pivotField numFmtId="14" showAll="0"/>
    <pivotField showAll="0"/>
    <pivotField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showAll="0"/>
    <pivotField showAll="0"/>
  </pivotFields>
  <rowFields count="1">
    <field x="0"/>
  </rowFields>
  <rowItems count="8">
    <i>
      <x v="2"/>
    </i>
    <i>
      <x v="5"/>
    </i>
    <i>
      <x v="4"/>
    </i>
    <i>
      <x/>
    </i>
    <i>
      <x v="3"/>
    </i>
    <i>
      <x v="6"/>
    </i>
    <i>
      <x v="1"/>
    </i>
    <i t="grand">
      <x/>
    </i>
  </rowItems>
  <colItems count="1">
    <i/>
  </colItems>
  <dataFields count="1">
    <dataField name="Sum of Loans" fld="2" baseField="0" baseItem="0" numFmtId="164"/>
  </dataFields>
  <formats count="2">
    <format dxfId="365">
      <pivotArea outline="0" collapsedLevelsAreSubtotals="1" fieldPosition="0"/>
    </format>
    <format dxfId="364">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0"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N1:AO8" firstHeaderRow="1" firstDataRow="1" firstDataCol="1"/>
  <pivotFields count="8">
    <pivotField showAll="0">
      <items count="8">
        <item x="0"/>
        <item x="3"/>
        <item x="2"/>
        <item x="4"/>
        <item x="1"/>
        <item x="5"/>
        <item x="6"/>
        <item t="default"/>
      </items>
    </pivotField>
    <pivotField showAll="0">
      <items count="10">
        <item x="8"/>
        <item x="3"/>
        <item x="4"/>
        <item x="2"/>
        <item x="1"/>
        <item x="7"/>
        <item x="5"/>
        <item x="6"/>
        <item x="0"/>
        <item t="default"/>
      </items>
    </pivotField>
    <pivotField dataField="1" numFmtId="165" showAll="0"/>
    <pivotField numFmtId="14" showAll="0"/>
    <pivotField showAll="0"/>
    <pivotField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showAll="0">
      <items count="7">
        <item x="4"/>
        <item x="3"/>
        <item x="0"/>
        <item x="5"/>
        <item x="2"/>
        <item x="1"/>
        <item t="default"/>
      </items>
    </pivotField>
    <pivotField axis="axisRow" showAll="0" sortType="descending">
      <items count="7">
        <item x="1"/>
        <item x="5"/>
        <item x="0"/>
        <item x="2"/>
        <item x="3"/>
        <item x="4"/>
        <item t="default"/>
      </items>
      <autoSortScope>
        <pivotArea dataOnly="0" outline="0" fieldPosition="0">
          <references count="1">
            <reference field="4294967294" count="1" selected="0">
              <x v="0"/>
            </reference>
          </references>
        </pivotArea>
      </autoSortScope>
    </pivotField>
  </pivotFields>
  <rowFields count="1">
    <field x="7"/>
  </rowFields>
  <rowItems count="7">
    <i>
      <x v="2"/>
    </i>
    <i>
      <x v="3"/>
    </i>
    <i>
      <x v="1"/>
    </i>
    <i>
      <x v="5"/>
    </i>
    <i>
      <x v="4"/>
    </i>
    <i>
      <x/>
    </i>
    <i t="grand">
      <x/>
    </i>
  </rowItems>
  <colItems count="1">
    <i/>
  </colItems>
  <dataFields count="1">
    <dataField name="Sum of Loans" fld="2" baseField="0" baseItem="0" numFmtId="164"/>
  </dataFields>
  <formats count="2">
    <format dxfId="367">
      <pivotArea outline="0" collapsedLevelsAreSubtotals="1" fieldPosition="0"/>
    </format>
    <format dxfId="366">
      <pivotArea dataOnly="0" labelOnly="1" outline="0" axis="axisValues" fieldPosition="0"/>
    </format>
  </formats>
  <conditionalFormats count="1">
    <conditionalFormat type="all" priority="2">
      <pivotAreas count="1">
        <pivotArea type="data" collapsedLevelsAreSubtotals="1" fieldPosition="0">
          <references count="2">
            <reference field="4294967294" count="1" selected="0">
              <x v="0"/>
            </reference>
            <reference field="7"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1">
  <location ref="P1:Q7" firstHeaderRow="1" firstDataRow="1" firstDataCol="1"/>
  <pivotFields count="8">
    <pivotField showAll="0">
      <items count="8">
        <item x="0"/>
        <item x="3"/>
        <item h="1" x="2"/>
        <item h="1" x="4"/>
        <item h="1" x="1"/>
        <item h="1" x="5"/>
        <item h="1" x="6"/>
        <item t="default"/>
      </items>
    </pivotField>
    <pivotField showAll="0">
      <items count="10">
        <item x="8"/>
        <item x="3"/>
        <item x="4"/>
        <item x="2"/>
        <item x="1"/>
        <item x="7"/>
        <item x="5"/>
        <item x="6"/>
        <item x="0"/>
        <item t="default"/>
      </items>
    </pivotField>
    <pivotField dataField="1" numFmtId="165"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showAll="0">
      <items count="7">
        <item x="4"/>
        <item x="3"/>
        <item x="0"/>
        <item x="5"/>
        <item x="2"/>
        <item x="1"/>
        <item t="default"/>
      </items>
    </pivotField>
    <pivotField axis="axisRow" showAll="0">
      <items count="7">
        <item x="1"/>
        <item x="5"/>
        <item x="0"/>
        <item x="2"/>
        <item x="3"/>
        <item x="4"/>
        <item t="default"/>
      </items>
    </pivotField>
  </pivotFields>
  <rowFields count="1">
    <field x="7"/>
  </rowFields>
  <rowItems count="6">
    <i>
      <x v="1"/>
    </i>
    <i>
      <x v="2"/>
    </i>
    <i>
      <x v="3"/>
    </i>
    <i>
      <x v="4"/>
    </i>
    <i>
      <x v="5"/>
    </i>
    <i t="grand">
      <x/>
    </i>
  </rowItems>
  <colItems count="1">
    <i/>
  </colItems>
  <dataFields count="1">
    <dataField name="Sum of Loans" fld="2" showDataAs="percentOfTotal" baseField="7" baseItem="0" numFmtId="10"/>
  </dataFields>
  <chartFormats count="22">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 chart="5" format="12">
      <pivotArea type="data" outline="0" fieldPosition="0">
        <references count="2">
          <reference field="4294967294" count="1" selected="0">
            <x v="0"/>
          </reference>
          <reference field="7" count="1" selected="0">
            <x v="3"/>
          </reference>
        </references>
      </pivotArea>
    </chartFormat>
    <chartFormat chart="5" format="13">
      <pivotArea type="data" outline="0" fieldPosition="0">
        <references count="2">
          <reference field="4294967294" count="1" selected="0">
            <x v="0"/>
          </reference>
          <reference field="7" count="1" selected="0">
            <x v="4"/>
          </reference>
        </references>
      </pivotArea>
    </chartFormat>
    <chartFormat chart="5" format="14">
      <pivotArea type="data" outline="0" fieldPosition="0">
        <references count="2">
          <reference field="4294967294" count="1" selected="0">
            <x v="0"/>
          </reference>
          <reference field="7" count="1" selected="0">
            <x v="5"/>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7" count="1" selected="0">
            <x v="0"/>
          </reference>
        </references>
      </pivotArea>
    </chartFormat>
    <chartFormat chart="7" format="24">
      <pivotArea type="data" outline="0" fieldPosition="0">
        <references count="2">
          <reference field="4294967294" count="1" selected="0">
            <x v="0"/>
          </reference>
          <reference field="7" count="1" selected="0">
            <x v="1"/>
          </reference>
        </references>
      </pivotArea>
    </chartFormat>
    <chartFormat chart="7" format="25">
      <pivotArea type="data" outline="0" fieldPosition="0">
        <references count="2">
          <reference field="4294967294" count="1" selected="0">
            <x v="0"/>
          </reference>
          <reference field="7" count="1" selected="0">
            <x v="2"/>
          </reference>
        </references>
      </pivotArea>
    </chartFormat>
    <chartFormat chart="7" format="26">
      <pivotArea type="data" outline="0" fieldPosition="0">
        <references count="2">
          <reference field="4294967294" count="1" selected="0">
            <x v="0"/>
          </reference>
          <reference field="7" count="1" selected="0">
            <x v="3"/>
          </reference>
        </references>
      </pivotArea>
    </chartFormat>
    <chartFormat chart="7" format="27">
      <pivotArea type="data" outline="0" fieldPosition="0">
        <references count="2">
          <reference field="4294967294" count="1" selected="0">
            <x v="0"/>
          </reference>
          <reference field="7" count="1" selected="0">
            <x v="4"/>
          </reference>
        </references>
      </pivotArea>
    </chartFormat>
    <chartFormat chart="7" format="28">
      <pivotArea type="data" outline="0" fieldPosition="0">
        <references count="2">
          <reference field="4294967294" count="1" selected="0">
            <x v="0"/>
          </reference>
          <reference field="7" count="1" selected="0">
            <x v="5"/>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7" count="1" selected="0">
            <x v="0"/>
          </reference>
        </references>
      </pivotArea>
    </chartFormat>
    <chartFormat chart="10" format="24">
      <pivotArea type="data" outline="0" fieldPosition="0">
        <references count="2">
          <reference field="4294967294" count="1" selected="0">
            <x v="0"/>
          </reference>
          <reference field="7" count="1" selected="0">
            <x v="1"/>
          </reference>
        </references>
      </pivotArea>
    </chartFormat>
    <chartFormat chart="10" format="25">
      <pivotArea type="data" outline="0" fieldPosition="0">
        <references count="2">
          <reference field="4294967294" count="1" selected="0">
            <x v="0"/>
          </reference>
          <reference field="7" count="1" selected="0">
            <x v="2"/>
          </reference>
        </references>
      </pivotArea>
    </chartFormat>
    <chartFormat chart="10" format="26">
      <pivotArea type="data" outline="0" fieldPosition="0">
        <references count="2">
          <reference field="4294967294" count="1" selected="0">
            <x v="0"/>
          </reference>
          <reference field="7" count="1" selected="0">
            <x v="3"/>
          </reference>
        </references>
      </pivotArea>
    </chartFormat>
    <chartFormat chart="10" format="27">
      <pivotArea type="data" outline="0" fieldPosition="0">
        <references count="2">
          <reference field="4294967294" count="1" selected="0">
            <x v="0"/>
          </reference>
          <reference field="7" count="1" selected="0">
            <x v="4"/>
          </reference>
        </references>
      </pivotArea>
    </chartFormat>
    <chartFormat chart="10" format="28">
      <pivotArea type="data" outline="0" fieldPosition="0">
        <references count="2">
          <reference field="4294967294" count="1" selected="0">
            <x v="0"/>
          </reference>
          <reference field="7" count="1" selected="0">
            <x v="5"/>
          </reference>
        </references>
      </pivotArea>
    </chartFormat>
    <chartFormat chart="7" format="2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0" name="Date">
      <autoFilter ref="A1">
        <filterColumn colId="0">
          <customFilters and="1">
            <customFilter operator="greaterThanOrEqual" val="41913"/>
            <customFilter operator="lessThanOrEqual" val="419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J1:K8" firstHeaderRow="1" firstDataRow="1" firstDataCol="1"/>
  <pivotFields count="8">
    <pivotField showAll="0">
      <items count="8">
        <item x="0"/>
        <item x="3"/>
        <item x="2"/>
        <item x="4"/>
        <item x="1"/>
        <item x="5"/>
        <item x="6"/>
        <item t="default"/>
      </items>
    </pivotField>
    <pivotField showAll="0">
      <items count="10">
        <item x="8"/>
        <item x="3"/>
        <item x="4"/>
        <item x="2"/>
        <item x="1"/>
        <item x="7"/>
        <item x="5"/>
        <item x="6"/>
        <item x="0"/>
        <item t="default"/>
      </items>
    </pivotField>
    <pivotField dataField="1" numFmtId="165" showAll="0"/>
    <pivotField numFmtId="14" showAll="0"/>
    <pivotField showAll="0"/>
    <pivotField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axis="axisRow" showAll="0">
      <items count="7">
        <item x="4"/>
        <item x="3"/>
        <item x="0"/>
        <item x="5"/>
        <item x="2"/>
        <item x="1"/>
        <item t="default"/>
      </items>
    </pivotField>
    <pivotField showAll="0"/>
  </pivotFields>
  <rowFields count="1">
    <field x="6"/>
  </rowFields>
  <rowItems count="7">
    <i>
      <x/>
    </i>
    <i>
      <x v="1"/>
    </i>
    <i>
      <x v="2"/>
    </i>
    <i>
      <x v="3"/>
    </i>
    <i>
      <x v="4"/>
    </i>
    <i>
      <x v="5"/>
    </i>
    <i t="grand">
      <x/>
    </i>
  </rowItems>
  <colItems count="1">
    <i/>
  </colItems>
  <dataFields count="1">
    <dataField name="Sum of Loans" fld="2" showDataAs="percentOfTotal" baseField="6" baseItem="0" numFmtId="10"/>
  </dataFields>
  <formats count="4">
    <format dxfId="371">
      <pivotArea outline="0" collapsedLevelsAreSubtotals="1" fieldPosition="0"/>
    </format>
    <format dxfId="370">
      <pivotArea dataOnly="0" labelOnly="1" outline="0" axis="axisValues" fieldPosition="0"/>
    </format>
    <format dxfId="369">
      <pivotArea outline="0" fieldPosition="0">
        <references count="1">
          <reference field="4294967294" count="1">
            <x v="0"/>
          </reference>
        </references>
      </pivotArea>
    </format>
    <format dxfId="368">
      <pivotArea collapsedLevelsAreSubtotals="1" fieldPosition="0">
        <references count="1">
          <reference field="6" count="0"/>
        </references>
      </pivotArea>
    </format>
  </formats>
  <chartFormats count="1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 chart="3" format="12">
      <pivotArea type="data" outline="0" fieldPosition="0">
        <references count="2">
          <reference field="4294967294" count="1" selected="0">
            <x v="0"/>
          </reference>
          <reference field="6" count="1" selected="0">
            <x v="3"/>
          </reference>
        </references>
      </pivotArea>
    </chartFormat>
    <chartFormat chart="3" format="13">
      <pivotArea type="data" outline="0" fieldPosition="0">
        <references count="2">
          <reference field="4294967294" count="1" selected="0">
            <x v="0"/>
          </reference>
          <reference field="6" count="1" selected="0">
            <x v="4"/>
          </reference>
        </references>
      </pivotArea>
    </chartFormat>
    <chartFormat chart="3" format="14">
      <pivotArea type="data" outline="0" fieldPosition="0">
        <references count="2">
          <reference field="4294967294" count="1" selected="0">
            <x v="0"/>
          </reference>
          <reference field="6" count="1" selected="0">
            <x v="5"/>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6" count="1" selected="0">
            <x v="0"/>
          </reference>
        </references>
      </pivotArea>
    </chartFormat>
    <chartFormat chart="7" format="24">
      <pivotArea type="data" outline="0" fieldPosition="0">
        <references count="2">
          <reference field="4294967294" count="1" selected="0">
            <x v="0"/>
          </reference>
          <reference field="6" count="1" selected="0">
            <x v="1"/>
          </reference>
        </references>
      </pivotArea>
    </chartFormat>
    <chartFormat chart="7" format="25">
      <pivotArea type="data" outline="0" fieldPosition="0">
        <references count="2">
          <reference field="4294967294" count="1" selected="0">
            <x v="0"/>
          </reference>
          <reference field="6" count="1" selected="0">
            <x v="2"/>
          </reference>
        </references>
      </pivotArea>
    </chartFormat>
    <chartFormat chart="7" format="26">
      <pivotArea type="data" outline="0" fieldPosition="0">
        <references count="2">
          <reference field="4294967294" count="1" selected="0">
            <x v="0"/>
          </reference>
          <reference field="6" count="1" selected="0">
            <x v="3"/>
          </reference>
        </references>
      </pivotArea>
    </chartFormat>
    <chartFormat chart="7" format="27">
      <pivotArea type="data" outline="0" fieldPosition="0">
        <references count="2">
          <reference field="4294967294" count="1" selected="0">
            <x v="0"/>
          </reference>
          <reference field="6" count="1" selected="0">
            <x v="4"/>
          </reference>
        </references>
      </pivotArea>
    </chartFormat>
    <chartFormat chart="7" format="28">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K1:AL8" firstHeaderRow="1" firstDataRow="1" firstDataCol="1"/>
  <pivotFields count="8">
    <pivotField showAll="0">
      <items count="8">
        <item x="0"/>
        <item x="3"/>
        <item x="2"/>
        <item x="4"/>
        <item x="1"/>
        <item x="5"/>
        <item x="6"/>
        <item t="default"/>
      </items>
    </pivotField>
    <pivotField showAll="0">
      <items count="10">
        <item x="8"/>
        <item x="3"/>
        <item x="4"/>
        <item x="2"/>
        <item x="1"/>
        <item x="7"/>
        <item x="5"/>
        <item x="6"/>
        <item x="0"/>
        <item t="default"/>
      </items>
    </pivotField>
    <pivotField dataField="1" numFmtId="165" showAll="0"/>
    <pivotField numFmtId="14" showAll="0"/>
    <pivotField showAll="0"/>
    <pivotField showAll="0">
      <items count="30">
        <item x="3"/>
        <item x="25"/>
        <item x="9"/>
        <item x="16"/>
        <item x="13"/>
        <item x="18"/>
        <item x="10"/>
        <item x="23"/>
        <item x="5"/>
        <item x="20"/>
        <item x="15"/>
        <item x="27"/>
        <item x="8"/>
        <item x="11"/>
        <item x="2"/>
        <item x="26"/>
        <item x="7"/>
        <item x="21"/>
        <item x="19"/>
        <item x="14"/>
        <item x="24"/>
        <item x="22"/>
        <item x="1"/>
        <item x="6"/>
        <item x="28"/>
        <item x="12"/>
        <item x="17"/>
        <item x="0"/>
        <item x="4"/>
        <item t="default"/>
      </items>
    </pivotField>
    <pivotField axis="axisRow" showAll="0" sortType="descending">
      <items count="7">
        <item x="4"/>
        <item x="3"/>
        <item x="0"/>
        <item x="5"/>
        <item x="2"/>
        <item x="1"/>
        <item t="default"/>
      </items>
      <autoSortScope>
        <pivotArea dataOnly="0" outline="0" fieldPosition="0">
          <references count="1">
            <reference field="4294967294" count="1" selected="0">
              <x v="0"/>
            </reference>
          </references>
        </pivotArea>
      </autoSortScope>
    </pivotField>
    <pivotField showAll="0"/>
  </pivotFields>
  <rowFields count="1">
    <field x="6"/>
  </rowFields>
  <rowItems count="7">
    <i>
      <x v="4"/>
    </i>
    <i>
      <x v="5"/>
    </i>
    <i>
      <x v="2"/>
    </i>
    <i>
      <x v="1"/>
    </i>
    <i>
      <x v="3"/>
    </i>
    <i>
      <x/>
    </i>
    <i t="grand">
      <x/>
    </i>
  </rowItems>
  <colItems count="1">
    <i/>
  </colItems>
  <dataFields count="1">
    <dataField name="Sum of Loans" fld="2" baseField="0" baseItem="0" numFmtId="164"/>
  </dataFields>
  <formats count="2">
    <format dxfId="373">
      <pivotArea outline="0" collapsedLevelsAreSubtotals="1" fieldPosition="0"/>
    </format>
    <format dxfId="372">
      <pivotArea dataOnly="0" labelOnly="1" outline="0" axis="axisValues" fieldPosition="0"/>
    </format>
  </formats>
  <conditionalFormats count="1">
    <conditionalFormat type="all" priority="3">
      <pivotAreas count="1">
        <pivotArea type="data" collapsedLevelsAreSubtotals="1" fieldPosition="0">
          <references count="2">
            <reference field="4294967294" count="1" selected="0">
              <x v="0"/>
            </reference>
            <reference field="6"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5" name="PivotTable16"/>
  </pivotTables>
  <data>
    <tabular pivotCacheId="1">
      <items count="7">
        <i x="0" s="1"/>
        <i x="3" s="1"/>
        <i x="2"/>
        <i x="4"/>
        <i x="1"/>
        <i x="5"/>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men" sourceName="Sales men">
  <pivotTables>
    <pivotTable tabId="5" name="PivotTable16"/>
    <pivotTable tabId="5" name="PivotTable10"/>
    <pivotTable tabId="5" name="PivotTable11"/>
    <pivotTable tabId="5" name="PivotTable12"/>
    <pivotTable tabId="5" name="PivotTable13"/>
    <pivotTable tabId="5" name="PivotTable15"/>
    <pivotTable tabId="5" name="PivotTable17"/>
    <pivotTable tabId="5" name="PivotTable2"/>
    <pivotTable tabId="5" name="PivotTable3"/>
    <pivotTable tabId="5" name="PivotTable4"/>
    <pivotTable tabId="5" name="PivotTable5"/>
    <pivotTable tabId="5" name="PivotTable6"/>
    <pivotTable tabId="5" name="PivotTable7"/>
    <pivotTable tabId="5" name="PivotTable1"/>
  </pivotTables>
  <data>
    <tabular pivotCacheId="1">
      <items count="9">
        <i x="8" s="1"/>
        <i x="3" s="1"/>
        <i x="4" s="1"/>
        <i x="2" s="1"/>
        <i x="1" s="1"/>
        <i x="7"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s" sourceName="States">
  <pivotTables>
    <pivotTable tabId="5" name="PivotTable16"/>
    <pivotTable tabId="5" name="PivotTable10"/>
    <pivotTable tabId="5" name="PivotTable11"/>
    <pivotTable tabId="5" name="PivotTable12"/>
    <pivotTable tabId="5" name="PivotTable13"/>
    <pivotTable tabId="5" name="PivotTable15"/>
    <pivotTable tabId="5" name="PivotTable17"/>
    <pivotTable tabId="5" name="PivotTable2"/>
    <pivotTable tabId="5" name="PivotTable3"/>
    <pivotTable tabId="5" name="PivotTable4"/>
    <pivotTable tabId="5" name="PivotTable5"/>
    <pivotTable tabId="5" name="PivotTable6"/>
    <pivotTable tabId="5" name="PivotTable7"/>
    <pivotTable tabId="5" name="PivotTable1"/>
  </pivotTables>
  <data>
    <tabular pivotCacheId="1">
      <items count="29">
        <i x="3" s="1"/>
        <i x="25" s="1"/>
        <i x="9" s="1"/>
        <i x="16" s="1"/>
        <i x="13" s="1"/>
        <i x="18" s="1"/>
        <i x="10" s="1"/>
        <i x="23" s="1"/>
        <i x="5" s="1"/>
        <i x="20" s="1"/>
        <i x="15" s="1"/>
        <i x="27" s="1"/>
        <i x="8" s="1"/>
        <i x="11" s="1"/>
        <i x="2" s="1"/>
        <i x="26" s="1"/>
        <i x="7" s="1"/>
        <i x="21" s="1"/>
        <i x="19" s="1"/>
        <i x="14" s="1"/>
        <i x="24" s="1"/>
        <i x="22" s="1"/>
        <i x="1" s="1"/>
        <i x="6" s="1"/>
        <i x="28" s="1"/>
        <i x="12" s="1"/>
        <i x="17"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6"/>
  </pivotTables>
  <data>
    <tabular pivotCacheId="1">
      <items count="6">
        <i x="3" s="1"/>
        <i x="0" s="1"/>
        <i x="5" s="1"/>
        <i x="2" s="1"/>
        <i x="1" s="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Bank" sourceName="Bank">
  <pivotTables>
    <pivotTable tabId="5" name="PivotTable16"/>
  </pivotTables>
  <data>
    <tabular pivotCacheId="1">
      <items count="6">
        <i x="5" s="1"/>
        <i x="0" s="1"/>
        <i x="2" s="1"/>
        <i x="3" s="1"/>
        <i x="4"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1" cache="Slicer_Product" caption="Product" style="SlicerStyleLight5" rowHeight="241300"/>
  <slicer name="Sales men 1" cache="Slicer_Sales_men" caption="Sales men" style="SlicerStyleLight5" rowHeight="241300"/>
  <slicer name="States 1" cache="Slicer_States" caption="States" columnCount="8" style="SlicerStyleDark5" rowHeight="241300"/>
  <slicer name="Region 1" cache="Slicer_Region" caption="Region" style="SlicerStyleDark5" rowHeight="241300"/>
  <slicer name="Bank 1" cache="Slicer_Bank" caption="Bank" style="SlicerStyleLight5"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cache="Slicer_Product" caption="Product" style="SlicerStyleLight5" rowHeight="241300"/>
  <slicer name="Sales men" cache="Slicer_Sales_men" caption="Sales men" style="SlicerStyleOther2" rowHeight="241300"/>
  <slicer name="States" cache="Slicer_States" caption="States" columnCount="8" style="SlicerStyleDark5" rowHeight="241300"/>
  <slicer name="Region" cache="Slicer_Region" caption="Region" style="SlicerStyleDark5" rowHeight="241300"/>
  <slicer name="Bank" cache="Slicer_Bank" caption="Bank" style="SlicerStyleLight5" rowHeight="241300"/>
</slicers>
</file>

<file path=xl/tables/table1.xml><?xml version="1.0" encoding="utf-8"?>
<table xmlns="http://schemas.openxmlformats.org/spreadsheetml/2006/main" id="1" name="Table1" displayName="Table1" ref="A1:H345" headerRowDxfId="395" dataDxfId="394" headerRowCellStyle="Normal 4 3" dataCellStyle="Normal 4 3">
  <autoFilter ref="A1:H345"/>
  <tableColumns count="8">
    <tableColumn id="2" name="Product" totalsRowLabel="Total" dataDxfId="393" dataCellStyle="Normal 4 3"/>
    <tableColumn id="1" name="Sales men" dataDxfId="392" totalsRowDxfId="391" dataCellStyle="Normal 4 3"/>
    <tableColumn id="4" name="Loans" dataDxfId="390" totalsRowDxfId="389" dataCellStyle="Normal 4 3"/>
    <tableColumn id="5" name="Date" dataDxfId="388" totalsRowDxfId="387" dataCellStyle="Normal 4 3"/>
    <tableColumn id="3" name="Ship to City" dataDxfId="386" totalsRowDxfId="385" dataCellStyle="Normal 4 3"/>
    <tableColumn id="6" name="States" dataDxfId="384" totalsRowDxfId="383" dataCellStyle="Normal 4 3"/>
    <tableColumn id="7" name="Region" dataDxfId="382" totalsRowDxfId="381" dataCellStyle="Normal 4 3"/>
    <tableColumn id="8" name="Bank" totalsRowFunction="count" dataDxfId="380" totalsRowDxfId="379" dataCellStyle="Normal 4 3"/>
  </tableColumns>
  <tableStyleInfo name="TableStyleLight3" showFirstColumn="0" showLastColumn="0" showRowStripes="1" showColumnStripes="0"/>
</table>
</file>

<file path=xl/tables/table2.xml><?xml version="1.0" encoding="utf-8"?>
<table xmlns="http://schemas.openxmlformats.org/spreadsheetml/2006/main" id="2" name="Table2" displayName="Table2" ref="A1:H411" totalsRowShown="0" headerRowDxfId="345" dataDxfId="344">
  <autoFilter ref="A1:H411"/>
  <tableColumns count="8">
    <tableColumn id="1" name="Product" dataDxfId="343"/>
    <tableColumn id="2" name="Sales men" dataDxfId="342"/>
    <tableColumn id="3" name="Loans" dataDxfId="341" dataCellStyle="Comma"/>
    <tableColumn id="4" name="Date" dataDxfId="340"/>
    <tableColumn id="5" name="Ship to City" dataDxfId="339"/>
    <tableColumn id="6" name="States" dataDxfId="338"/>
    <tableColumn id="7" name="Region" dataDxfId="337"/>
    <tableColumn id="8" name="Bank" dataDxfId="3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5"/>
  <sheetViews>
    <sheetView topLeftCell="B324" workbookViewId="0">
      <selection activeCell="K343" sqref="K343"/>
    </sheetView>
  </sheetViews>
  <sheetFormatPr defaultRowHeight="14.5" x14ac:dyDescent="0.35"/>
  <cols>
    <col min="1" max="2" width="16.54296875" style="11" customWidth="1"/>
    <col min="3" max="3" width="21.90625" style="13" customWidth="1"/>
    <col min="4" max="4" width="11.08984375" style="14" bestFit="1" customWidth="1"/>
    <col min="5" max="5" width="25.90625" style="11" customWidth="1"/>
    <col min="6" max="8" width="8.7265625" style="11"/>
  </cols>
  <sheetData>
    <row r="1" spans="1:8" x14ac:dyDescent="0.35">
      <c r="A1" s="1" t="s">
        <v>0</v>
      </c>
      <c r="B1" s="1" t="s">
        <v>14</v>
      </c>
      <c r="C1" s="1" t="s">
        <v>11</v>
      </c>
      <c r="D1" s="1" t="s">
        <v>1</v>
      </c>
      <c r="E1" s="15" t="s">
        <v>23</v>
      </c>
      <c r="F1" s="15" t="s">
        <v>12</v>
      </c>
      <c r="G1" s="15" t="s">
        <v>24</v>
      </c>
      <c r="H1" s="15" t="s">
        <v>25</v>
      </c>
    </row>
    <row r="2" spans="1:8" x14ac:dyDescent="0.35">
      <c r="A2" s="2" t="s">
        <v>7</v>
      </c>
      <c r="B2" s="11" t="s">
        <v>20</v>
      </c>
      <c r="C2" s="3">
        <v>4270</v>
      </c>
      <c r="D2" s="4">
        <v>41641</v>
      </c>
      <c r="E2" s="11" t="s">
        <v>26</v>
      </c>
      <c r="F2" s="11" t="s">
        <v>27</v>
      </c>
      <c r="G2" s="11" t="s">
        <v>28</v>
      </c>
      <c r="H2" s="11" t="s">
        <v>29</v>
      </c>
    </row>
    <row r="3" spans="1:8" x14ac:dyDescent="0.35">
      <c r="A3" s="2" t="s">
        <v>4</v>
      </c>
      <c r="B3" s="2" t="s">
        <v>16</v>
      </c>
      <c r="C3" s="3">
        <v>8239</v>
      </c>
      <c r="D3" s="4">
        <v>41642</v>
      </c>
      <c r="E3" s="11" t="s">
        <v>30</v>
      </c>
      <c r="F3" s="11" t="s">
        <v>31</v>
      </c>
      <c r="G3" s="11" t="s">
        <v>28</v>
      </c>
      <c r="H3" s="11" t="s">
        <v>32</v>
      </c>
    </row>
    <row r="4" spans="1:8" x14ac:dyDescent="0.35">
      <c r="A4" s="2" t="s">
        <v>5</v>
      </c>
      <c r="B4" s="2" t="s">
        <v>20</v>
      </c>
      <c r="C4" s="3">
        <v>617</v>
      </c>
      <c r="D4" s="4">
        <v>41644</v>
      </c>
      <c r="E4" s="11" t="s">
        <v>33</v>
      </c>
      <c r="F4" s="11" t="s">
        <v>27</v>
      </c>
      <c r="G4" s="11" t="s">
        <v>28</v>
      </c>
      <c r="H4" s="11" t="s">
        <v>34</v>
      </c>
    </row>
    <row r="5" spans="1:8" x14ac:dyDescent="0.35">
      <c r="A5" s="2" t="s">
        <v>5</v>
      </c>
      <c r="B5" s="2" t="s">
        <v>21</v>
      </c>
      <c r="C5" s="3">
        <v>8384</v>
      </c>
      <c r="D5" s="4">
        <v>41646</v>
      </c>
      <c r="E5" s="11" t="s">
        <v>35</v>
      </c>
      <c r="F5" s="11" t="s">
        <v>36</v>
      </c>
      <c r="G5" s="11" t="s">
        <v>37</v>
      </c>
      <c r="H5" s="11" t="s">
        <v>38</v>
      </c>
    </row>
    <row r="6" spans="1:8" x14ac:dyDescent="0.35">
      <c r="A6" s="2" t="s">
        <v>6</v>
      </c>
      <c r="B6" s="2" t="s">
        <v>20</v>
      </c>
      <c r="C6" s="3">
        <v>2626</v>
      </c>
      <c r="D6" s="4">
        <v>41648</v>
      </c>
      <c r="E6" s="11" t="s">
        <v>39</v>
      </c>
      <c r="F6" s="11" t="s">
        <v>40</v>
      </c>
      <c r="G6" s="11" t="s">
        <v>41</v>
      </c>
      <c r="H6" s="11" t="s">
        <v>42</v>
      </c>
    </row>
    <row r="7" spans="1:8" x14ac:dyDescent="0.35">
      <c r="A7" s="2" t="s">
        <v>9</v>
      </c>
      <c r="B7" s="2" t="s">
        <v>17</v>
      </c>
      <c r="C7" s="3">
        <v>3610</v>
      </c>
      <c r="D7" s="4">
        <v>41649</v>
      </c>
      <c r="E7" s="11" t="s">
        <v>43</v>
      </c>
      <c r="F7" s="11" t="s">
        <v>44</v>
      </c>
      <c r="G7" s="11" t="s">
        <v>45</v>
      </c>
      <c r="H7" s="11" t="s">
        <v>46</v>
      </c>
    </row>
    <row r="8" spans="1:8" x14ac:dyDescent="0.35">
      <c r="A8" s="2" t="s">
        <v>4</v>
      </c>
      <c r="B8" s="2" t="s">
        <v>21</v>
      </c>
      <c r="C8" s="3">
        <v>9062</v>
      </c>
      <c r="D8" s="4">
        <v>41650</v>
      </c>
      <c r="E8" s="11" t="s">
        <v>47</v>
      </c>
      <c r="F8" s="11" t="s">
        <v>48</v>
      </c>
      <c r="G8" s="11" t="s">
        <v>37</v>
      </c>
      <c r="H8" s="11" t="s">
        <v>29</v>
      </c>
    </row>
    <row r="9" spans="1:8" x14ac:dyDescent="0.35">
      <c r="A9" s="2" t="s">
        <v>10</v>
      </c>
      <c r="B9" s="2" t="s">
        <v>21</v>
      </c>
      <c r="C9" s="3">
        <v>2417</v>
      </c>
      <c r="D9" s="4">
        <v>41652</v>
      </c>
      <c r="E9" s="11" t="s">
        <v>49</v>
      </c>
      <c r="F9" s="11" t="s">
        <v>50</v>
      </c>
      <c r="G9" s="11" t="s">
        <v>41</v>
      </c>
      <c r="H9" s="11" t="s">
        <v>42</v>
      </c>
    </row>
    <row r="10" spans="1:8" x14ac:dyDescent="0.35">
      <c r="A10" s="2" t="s">
        <v>10</v>
      </c>
      <c r="B10" s="2" t="s">
        <v>21</v>
      </c>
      <c r="C10" s="3">
        <v>7431</v>
      </c>
      <c r="D10" s="4">
        <v>41654</v>
      </c>
      <c r="E10" s="11" t="s">
        <v>51</v>
      </c>
      <c r="F10" s="11" t="s">
        <v>52</v>
      </c>
      <c r="G10" s="11" t="s">
        <v>53</v>
      </c>
      <c r="H10" s="11" t="s">
        <v>29</v>
      </c>
    </row>
    <row r="11" spans="1:8" x14ac:dyDescent="0.35">
      <c r="A11" s="2" t="s">
        <v>5</v>
      </c>
      <c r="B11" s="2" t="s">
        <v>20</v>
      </c>
      <c r="C11" s="3">
        <v>8250</v>
      </c>
      <c r="D11" s="4">
        <v>41655</v>
      </c>
      <c r="E11" s="11" t="s">
        <v>54</v>
      </c>
      <c r="F11" s="11" t="s">
        <v>50</v>
      </c>
      <c r="G11" s="11" t="s">
        <v>41</v>
      </c>
      <c r="H11" s="11" t="s">
        <v>29</v>
      </c>
    </row>
    <row r="12" spans="1:8" x14ac:dyDescent="0.35">
      <c r="A12" s="2" t="s">
        <v>4</v>
      </c>
      <c r="B12" s="2" t="s">
        <v>21</v>
      </c>
      <c r="C12" s="3">
        <v>7012</v>
      </c>
      <c r="D12" s="4">
        <v>41657</v>
      </c>
      <c r="E12" s="11" t="s">
        <v>55</v>
      </c>
      <c r="F12" s="11" t="s">
        <v>44</v>
      </c>
      <c r="G12" s="11" t="s">
        <v>45</v>
      </c>
      <c r="H12" s="11" t="s">
        <v>34</v>
      </c>
    </row>
    <row r="13" spans="1:8" x14ac:dyDescent="0.35">
      <c r="A13" s="2" t="s">
        <v>7</v>
      </c>
      <c r="B13" s="2" t="s">
        <v>21</v>
      </c>
      <c r="C13" s="3">
        <v>1903</v>
      </c>
      <c r="D13" s="4">
        <v>41659</v>
      </c>
      <c r="E13" s="11" t="s">
        <v>56</v>
      </c>
      <c r="F13" s="11" t="s">
        <v>57</v>
      </c>
      <c r="G13" s="11" t="s">
        <v>41</v>
      </c>
      <c r="H13" s="11" t="s">
        <v>34</v>
      </c>
    </row>
    <row r="14" spans="1:8" x14ac:dyDescent="0.35">
      <c r="A14" s="2" t="s">
        <v>4</v>
      </c>
      <c r="B14" s="2" t="s">
        <v>20</v>
      </c>
      <c r="C14" s="3">
        <v>2824</v>
      </c>
      <c r="D14" s="4">
        <v>41661</v>
      </c>
      <c r="E14" s="11" t="s">
        <v>58</v>
      </c>
      <c r="F14" s="11" t="s">
        <v>57</v>
      </c>
      <c r="G14" s="11" t="s">
        <v>41</v>
      </c>
      <c r="H14" s="11" t="s">
        <v>29</v>
      </c>
    </row>
    <row r="15" spans="1:8" x14ac:dyDescent="0.35">
      <c r="A15" s="2" t="s">
        <v>10</v>
      </c>
      <c r="B15" s="2" t="s">
        <v>21</v>
      </c>
      <c r="C15" s="3">
        <v>6946</v>
      </c>
      <c r="D15" s="4">
        <v>41663</v>
      </c>
      <c r="E15" s="11" t="s">
        <v>59</v>
      </c>
      <c r="F15" s="11" t="s">
        <v>36</v>
      </c>
      <c r="G15" s="11" t="s">
        <v>37</v>
      </c>
      <c r="H15" s="11" t="s">
        <v>38</v>
      </c>
    </row>
    <row r="16" spans="1:8" x14ac:dyDescent="0.35">
      <c r="A16" s="2" t="s">
        <v>5</v>
      </c>
      <c r="B16" s="2" t="s">
        <v>17</v>
      </c>
      <c r="C16" s="3">
        <v>2320</v>
      </c>
      <c r="D16" s="4">
        <v>41666</v>
      </c>
      <c r="E16" s="11" t="s">
        <v>60</v>
      </c>
      <c r="F16" s="11" t="s">
        <v>36</v>
      </c>
      <c r="G16" s="11" t="s">
        <v>37</v>
      </c>
      <c r="H16" s="11" t="s">
        <v>46</v>
      </c>
    </row>
    <row r="17" spans="1:8" x14ac:dyDescent="0.35">
      <c r="A17" s="2" t="s">
        <v>5</v>
      </c>
      <c r="B17" s="2" t="s">
        <v>17</v>
      </c>
      <c r="C17" s="3">
        <v>2116</v>
      </c>
      <c r="D17" s="4">
        <v>41667</v>
      </c>
      <c r="E17" s="11" t="s">
        <v>35</v>
      </c>
      <c r="F17" s="11" t="s">
        <v>36</v>
      </c>
      <c r="G17" s="11" t="s">
        <v>37</v>
      </c>
      <c r="H17" s="11" t="s">
        <v>29</v>
      </c>
    </row>
    <row r="18" spans="1:8" x14ac:dyDescent="0.35">
      <c r="A18" s="2" t="s">
        <v>5</v>
      </c>
      <c r="B18" s="2" t="s">
        <v>21</v>
      </c>
      <c r="C18" s="3">
        <v>1135</v>
      </c>
      <c r="D18" s="4">
        <v>41669</v>
      </c>
      <c r="E18" s="11" t="s">
        <v>61</v>
      </c>
      <c r="F18" s="11" t="s">
        <v>62</v>
      </c>
      <c r="G18" s="11" t="s">
        <v>63</v>
      </c>
      <c r="H18" s="11" t="s">
        <v>42</v>
      </c>
    </row>
    <row r="19" spans="1:8" x14ac:dyDescent="0.35">
      <c r="A19" s="2" t="s">
        <v>4</v>
      </c>
      <c r="B19" s="2" t="s">
        <v>21</v>
      </c>
      <c r="C19" s="3">
        <v>3595</v>
      </c>
      <c r="D19" s="4">
        <v>41669</v>
      </c>
      <c r="E19" s="11" t="s">
        <v>64</v>
      </c>
      <c r="F19" s="11" t="s">
        <v>57</v>
      </c>
      <c r="G19" s="11" t="s">
        <v>41</v>
      </c>
      <c r="H19" s="11" t="s">
        <v>34</v>
      </c>
    </row>
    <row r="20" spans="1:8" x14ac:dyDescent="0.35">
      <c r="A20" s="2" t="s">
        <v>10</v>
      </c>
      <c r="B20" s="2" t="s">
        <v>16</v>
      </c>
      <c r="C20" s="3">
        <v>1161</v>
      </c>
      <c r="D20" s="4">
        <v>41672</v>
      </c>
      <c r="E20" s="11" t="s">
        <v>43</v>
      </c>
      <c r="F20" s="11" t="s">
        <v>44</v>
      </c>
      <c r="G20" s="11" t="s">
        <v>45</v>
      </c>
      <c r="H20" s="11" t="s">
        <v>29</v>
      </c>
    </row>
    <row r="21" spans="1:8" x14ac:dyDescent="0.35">
      <c r="A21" s="2" t="s">
        <v>9</v>
      </c>
      <c r="B21" s="2" t="s">
        <v>16</v>
      </c>
      <c r="C21" s="3">
        <v>2256</v>
      </c>
      <c r="D21" s="4">
        <v>41674</v>
      </c>
      <c r="E21" s="11" t="s">
        <v>54</v>
      </c>
      <c r="F21" s="11" t="s">
        <v>50</v>
      </c>
      <c r="G21" s="11" t="s">
        <v>41</v>
      </c>
      <c r="H21" s="11" t="s">
        <v>42</v>
      </c>
    </row>
    <row r="22" spans="1:8" x14ac:dyDescent="0.35">
      <c r="A22" s="2" t="s">
        <v>5</v>
      </c>
      <c r="B22" s="2" t="s">
        <v>16</v>
      </c>
      <c r="C22" s="3">
        <v>3642</v>
      </c>
      <c r="D22" s="4">
        <v>41676</v>
      </c>
      <c r="E22" s="11" t="s">
        <v>65</v>
      </c>
      <c r="F22" s="11" t="s">
        <v>66</v>
      </c>
      <c r="G22" s="11" t="s">
        <v>28</v>
      </c>
      <c r="H22" s="11" t="s">
        <v>42</v>
      </c>
    </row>
    <row r="23" spans="1:8" x14ac:dyDescent="0.35">
      <c r="A23" s="2" t="s">
        <v>5</v>
      </c>
      <c r="B23" s="2" t="s">
        <v>15</v>
      </c>
      <c r="C23" s="3">
        <v>4582</v>
      </c>
      <c r="D23" s="4">
        <v>41682</v>
      </c>
      <c r="E23" s="11" t="s">
        <v>67</v>
      </c>
      <c r="F23" s="11" t="s">
        <v>44</v>
      </c>
      <c r="G23" s="11" t="s">
        <v>45</v>
      </c>
      <c r="H23" s="11" t="s">
        <v>29</v>
      </c>
    </row>
    <row r="24" spans="1:8" x14ac:dyDescent="0.35">
      <c r="A24" s="2" t="s">
        <v>6</v>
      </c>
      <c r="B24" s="2" t="s">
        <v>16</v>
      </c>
      <c r="C24" s="3">
        <v>3559</v>
      </c>
      <c r="D24" s="4">
        <v>41684</v>
      </c>
      <c r="E24" s="11" t="s">
        <v>68</v>
      </c>
      <c r="F24" s="11" t="s">
        <v>69</v>
      </c>
      <c r="G24" s="11" t="s">
        <v>41</v>
      </c>
      <c r="H24" s="11" t="s">
        <v>29</v>
      </c>
    </row>
    <row r="25" spans="1:8" x14ac:dyDescent="0.35">
      <c r="A25" s="2" t="s">
        <v>7</v>
      </c>
      <c r="B25" s="2" t="s">
        <v>15</v>
      </c>
      <c r="C25" s="3">
        <v>5154</v>
      </c>
      <c r="D25" s="4">
        <v>41687</v>
      </c>
      <c r="E25" s="11" t="s">
        <v>70</v>
      </c>
      <c r="F25" s="11" t="s">
        <v>69</v>
      </c>
      <c r="G25" s="11" t="s">
        <v>41</v>
      </c>
      <c r="H25" s="11" t="s">
        <v>38</v>
      </c>
    </row>
    <row r="26" spans="1:8" x14ac:dyDescent="0.35">
      <c r="A26" s="2" t="s">
        <v>8</v>
      </c>
      <c r="B26" s="2" t="s">
        <v>16</v>
      </c>
      <c r="C26" s="3">
        <v>7388</v>
      </c>
      <c r="D26" s="4">
        <v>41688</v>
      </c>
      <c r="E26" s="11" t="s">
        <v>30</v>
      </c>
      <c r="F26" s="11" t="s">
        <v>31</v>
      </c>
      <c r="G26" s="11" t="s">
        <v>28</v>
      </c>
      <c r="H26" s="11" t="s">
        <v>46</v>
      </c>
    </row>
    <row r="27" spans="1:8" x14ac:dyDescent="0.35">
      <c r="A27" s="2" t="s">
        <v>6</v>
      </c>
      <c r="B27" s="2" t="s">
        <v>15</v>
      </c>
      <c r="C27" s="3">
        <v>7163</v>
      </c>
      <c r="D27" s="4">
        <v>41688</v>
      </c>
      <c r="E27" s="11" t="s">
        <v>71</v>
      </c>
      <c r="F27" s="11" t="s">
        <v>72</v>
      </c>
      <c r="G27" s="11" t="s">
        <v>41</v>
      </c>
      <c r="H27" s="11" t="s">
        <v>46</v>
      </c>
    </row>
    <row r="28" spans="1:8" x14ac:dyDescent="0.35">
      <c r="A28" s="2" t="s">
        <v>6</v>
      </c>
      <c r="B28" s="2" t="s">
        <v>16</v>
      </c>
      <c r="C28" s="3">
        <v>5101</v>
      </c>
      <c r="D28" s="4">
        <v>41690</v>
      </c>
      <c r="E28" s="11" t="s">
        <v>54</v>
      </c>
      <c r="F28" s="11" t="s">
        <v>50</v>
      </c>
      <c r="G28" s="11" t="s">
        <v>41</v>
      </c>
      <c r="H28" s="11" t="s">
        <v>46</v>
      </c>
    </row>
    <row r="29" spans="1:8" x14ac:dyDescent="0.35">
      <c r="A29" s="2" t="s">
        <v>10</v>
      </c>
      <c r="B29" s="2" t="s">
        <v>15</v>
      </c>
      <c r="C29" s="3">
        <v>7602</v>
      </c>
      <c r="D29" s="4">
        <v>41691</v>
      </c>
      <c r="E29" s="11" t="s">
        <v>43</v>
      </c>
      <c r="F29" s="11" t="s">
        <v>44</v>
      </c>
      <c r="G29" s="11" t="s">
        <v>45</v>
      </c>
      <c r="H29" s="11" t="s">
        <v>34</v>
      </c>
    </row>
    <row r="30" spans="1:8" x14ac:dyDescent="0.35">
      <c r="A30" s="2" t="s">
        <v>8</v>
      </c>
      <c r="B30" s="2" t="s">
        <v>16</v>
      </c>
      <c r="C30" s="3">
        <v>1641</v>
      </c>
      <c r="D30" s="4">
        <v>41692</v>
      </c>
      <c r="E30" s="11" t="s">
        <v>73</v>
      </c>
      <c r="F30" s="11" t="s">
        <v>62</v>
      </c>
      <c r="G30" s="11" t="s">
        <v>63</v>
      </c>
      <c r="H30" s="11" t="s">
        <v>29</v>
      </c>
    </row>
    <row r="31" spans="1:8" x14ac:dyDescent="0.35">
      <c r="A31" s="2" t="s">
        <v>10</v>
      </c>
      <c r="B31" s="2" t="s">
        <v>15</v>
      </c>
      <c r="C31" s="3">
        <v>8892</v>
      </c>
      <c r="D31" s="4">
        <v>41693</v>
      </c>
      <c r="E31" s="11" t="s">
        <v>74</v>
      </c>
      <c r="F31" s="11" t="s">
        <v>36</v>
      </c>
      <c r="G31" s="11" t="s">
        <v>37</v>
      </c>
      <c r="H31" s="11" t="s">
        <v>34</v>
      </c>
    </row>
    <row r="32" spans="1:8" x14ac:dyDescent="0.35">
      <c r="A32" s="2" t="s">
        <v>10</v>
      </c>
      <c r="B32" s="2" t="s">
        <v>16</v>
      </c>
      <c r="C32" s="3">
        <v>2060</v>
      </c>
      <c r="D32" s="4">
        <v>41698</v>
      </c>
      <c r="E32" s="11" t="s">
        <v>75</v>
      </c>
      <c r="F32" s="11" t="s">
        <v>76</v>
      </c>
      <c r="G32" s="11" t="s">
        <v>53</v>
      </c>
      <c r="H32" s="11" t="s">
        <v>34</v>
      </c>
    </row>
    <row r="33" spans="1:8" x14ac:dyDescent="0.35">
      <c r="A33" s="2" t="s">
        <v>4</v>
      </c>
      <c r="B33" s="2" t="s">
        <v>15</v>
      </c>
      <c r="C33" s="3">
        <v>1557</v>
      </c>
      <c r="D33" s="4">
        <v>41698</v>
      </c>
      <c r="E33" s="11" t="s">
        <v>77</v>
      </c>
      <c r="F33" s="11" t="s">
        <v>78</v>
      </c>
      <c r="G33" s="11" t="s">
        <v>45</v>
      </c>
      <c r="H33" s="11" t="s">
        <v>29</v>
      </c>
    </row>
    <row r="34" spans="1:8" x14ac:dyDescent="0.35">
      <c r="A34" s="2" t="s">
        <v>10</v>
      </c>
      <c r="B34" s="2" t="s">
        <v>16</v>
      </c>
      <c r="C34" s="3">
        <v>6509</v>
      </c>
      <c r="D34" s="4">
        <v>41699</v>
      </c>
      <c r="E34" s="11" t="s">
        <v>79</v>
      </c>
      <c r="F34" s="11" t="s">
        <v>80</v>
      </c>
      <c r="G34" s="11" t="s">
        <v>45</v>
      </c>
      <c r="H34" s="11" t="s">
        <v>38</v>
      </c>
    </row>
    <row r="35" spans="1:8" x14ac:dyDescent="0.35">
      <c r="A35" s="2" t="s">
        <v>10</v>
      </c>
      <c r="B35" s="2" t="s">
        <v>17</v>
      </c>
      <c r="C35" s="3">
        <v>5718</v>
      </c>
      <c r="D35" s="4">
        <v>41702</v>
      </c>
      <c r="E35" s="11" t="s">
        <v>81</v>
      </c>
      <c r="F35" s="11" t="s">
        <v>82</v>
      </c>
      <c r="G35" s="11" t="s">
        <v>45</v>
      </c>
      <c r="H35" s="11" t="s">
        <v>46</v>
      </c>
    </row>
    <row r="36" spans="1:8" x14ac:dyDescent="0.35">
      <c r="A36" s="2" t="s">
        <v>10</v>
      </c>
      <c r="B36" s="2" t="s">
        <v>18</v>
      </c>
      <c r="C36" s="3">
        <v>7655</v>
      </c>
      <c r="D36" s="4">
        <v>41703</v>
      </c>
      <c r="E36" s="11" t="s">
        <v>83</v>
      </c>
      <c r="F36" s="11" t="s">
        <v>84</v>
      </c>
      <c r="G36" s="11" t="s">
        <v>28</v>
      </c>
      <c r="H36" s="11" t="s">
        <v>29</v>
      </c>
    </row>
    <row r="37" spans="1:8" x14ac:dyDescent="0.35">
      <c r="A37" s="2" t="s">
        <v>7</v>
      </c>
      <c r="B37" s="2" t="s">
        <v>20</v>
      </c>
      <c r="C37" s="3">
        <v>9116</v>
      </c>
      <c r="D37" s="4">
        <v>41703</v>
      </c>
      <c r="E37" s="11" t="s">
        <v>85</v>
      </c>
      <c r="F37" s="11" t="s">
        <v>86</v>
      </c>
      <c r="G37" s="11" t="s">
        <v>28</v>
      </c>
      <c r="H37" s="11" t="s">
        <v>42</v>
      </c>
    </row>
    <row r="38" spans="1:8" x14ac:dyDescent="0.35">
      <c r="A38" s="2" t="s">
        <v>5</v>
      </c>
      <c r="B38" s="2" t="s">
        <v>18</v>
      </c>
      <c r="C38" s="3">
        <v>2795</v>
      </c>
      <c r="D38" s="4">
        <v>41713</v>
      </c>
      <c r="E38" s="11" t="s">
        <v>87</v>
      </c>
      <c r="F38" s="11" t="s">
        <v>52</v>
      </c>
      <c r="G38" s="11" t="s">
        <v>53</v>
      </c>
      <c r="H38" s="11" t="s">
        <v>34</v>
      </c>
    </row>
    <row r="39" spans="1:8" x14ac:dyDescent="0.35">
      <c r="A39" s="2" t="s">
        <v>5</v>
      </c>
      <c r="B39" s="2" t="s">
        <v>18</v>
      </c>
      <c r="C39" s="3">
        <v>5084</v>
      </c>
      <c r="D39" s="4">
        <v>41713</v>
      </c>
      <c r="E39" s="11" t="s">
        <v>35</v>
      </c>
      <c r="F39" s="11" t="s">
        <v>36</v>
      </c>
      <c r="G39" s="11" t="s">
        <v>37</v>
      </c>
      <c r="H39" s="11" t="s">
        <v>29</v>
      </c>
    </row>
    <row r="40" spans="1:8" x14ac:dyDescent="0.35">
      <c r="A40" s="2" t="s">
        <v>7</v>
      </c>
      <c r="B40" s="2" t="s">
        <v>18</v>
      </c>
      <c r="C40" s="3">
        <v>8941</v>
      </c>
      <c r="D40" s="4">
        <v>41713</v>
      </c>
      <c r="E40" s="11" t="s">
        <v>65</v>
      </c>
      <c r="F40" s="11" t="s">
        <v>66</v>
      </c>
      <c r="G40" s="11" t="s">
        <v>28</v>
      </c>
      <c r="H40" s="11" t="s">
        <v>42</v>
      </c>
    </row>
    <row r="41" spans="1:8" x14ac:dyDescent="0.35">
      <c r="A41" s="2" t="s">
        <v>4</v>
      </c>
      <c r="B41" s="2" t="s">
        <v>20</v>
      </c>
      <c r="C41" s="3">
        <v>5341</v>
      </c>
      <c r="D41" s="4">
        <v>41714</v>
      </c>
      <c r="E41" s="11" t="s">
        <v>88</v>
      </c>
      <c r="F41" s="11" t="s">
        <v>48</v>
      </c>
      <c r="G41" s="11" t="s">
        <v>37</v>
      </c>
      <c r="H41" s="11" t="s">
        <v>42</v>
      </c>
    </row>
    <row r="42" spans="1:8" x14ac:dyDescent="0.35">
      <c r="A42" s="2" t="s">
        <v>5</v>
      </c>
      <c r="B42" s="2" t="s">
        <v>20</v>
      </c>
      <c r="C42" s="3">
        <v>135</v>
      </c>
      <c r="D42" s="4">
        <v>41717</v>
      </c>
      <c r="E42" s="11" t="s">
        <v>74</v>
      </c>
      <c r="F42" s="11" t="s">
        <v>36</v>
      </c>
      <c r="G42" s="11" t="s">
        <v>37</v>
      </c>
      <c r="H42" s="11" t="s">
        <v>29</v>
      </c>
    </row>
    <row r="43" spans="1:8" x14ac:dyDescent="0.35">
      <c r="A43" s="2" t="s">
        <v>5</v>
      </c>
      <c r="B43" s="2" t="s">
        <v>21</v>
      </c>
      <c r="C43" s="3">
        <v>9400</v>
      </c>
      <c r="D43" s="4">
        <v>41717</v>
      </c>
      <c r="E43" s="11" t="s">
        <v>89</v>
      </c>
      <c r="F43" s="11" t="s">
        <v>72</v>
      </c>
      <c r="G43" s="11" t="s">
        <v>41</v>
      </c>
      <c r="H43" s="11" t="s">
        <v>29</v>
      </c>
    </row>
    <row r="44" spans="1:8" x14ac:dyDescent="0.35">
      <c r="A44" s="2" t="s">
        <v>6</v>
      </c>
      <c r="B44" s="2" t="s">
        <v>20</v>
      </c>
      <c r="C44" s="3">
        <v>6045</v>
      </c>
      <c r="D44" s="4">
        <v>41719</v>
      </c>
      <c r="E44" s="11" t="s">
        <v>90</v>
      </c>
      <c r="F44" s="11" t="s">
        <v>91</v>
      </c>
      <c r="G44" s="11" t="s">
        <v>63</v>
      </c>
      <c r="H44" s="11" t="s">
        <v>38</v>
      </c>
    </row>
    <row r="45" spans="1:8" x14ac:dyDescent="0.35">
      <c r="A45" s="2" t="s">
        <v>9</v>
      </c>
      <c r="B45" s="2" t="s">
        <v>18</v>
      </c>
      <c r="C45" s="3">
        <v>8887</v>
      </c>
      <c r="D45" s="4">
        <v>41721</v>
      </c>
      <c r="E45" s="11" t="s">
        <v>92</v>
      </c>
      <c r="F45" s="11" t="s">
        <v>40</v>
      </c>
      <c r="G45" s="11" t="s">
        <v>41</v>
      </c>
      <c r="H45" s="11" t="s">
        <v>46</v>
      </c>
    </row>
    <row r="46" spans="1:8" x14ac:dyDescent="0.35">
      <c r="A46" s="2" t="s">
        <v>9</v>
      </c>
      <c r="B46" s="2" t="s">
        <v>18</v>
      </c>
      <c r="C46" s="3">
        <v>6982</v>
      </c>
      <c r="D46" s="4">
        <v>41722</v>
      </c>
      <c r="E46" s="11" t="s">
        <v>93</v>
      </c>
      <c r="F46" s="11" t="s">
        <v>78</v>
      </c>
      <c r="G46" s="11" t="s">
        <v>45</v>
      </c>
      <c r="H46" s="11" t="s">
        <v>46</v>
      </c>
    </row>
    <row r="47" spans="1:8" x14ac:dyDescent="0.35">
      <c r="A47" s="2" t="s">
        <v>5</v>
      </c>
      <c r="B47" s="2" t="s">
        <v>21</v>
      </c>
      <c r="C47" s="3">
        <v>4029</v>
      </c>
      <c r="D47" s="4">
        <v>41724</v>
      </c>
      <c r="E47" s="11" t="s">
        <v>65</v>
      </c>
      <c r="F47" s="11" t="s">
        <v>66</v>
      </c>
      <c r="G47" s="11" t="s">
        <v>28</v>
      </c>
      <c r="H47" s="11" t="s">
        <v>46</v>
      </c>
    </row>
    <row r="48" spans="1:8" x14ac:dyDescent="0.35">
      <c r="A48" s="2" t="s">
        <v>7</v>
      </c>
      <c r="B48" s="2" t="s">
        <v>18</v>
      </c>
      <c r="C48" s="3">
        <v>3665</v>
      </c>
      <c r="D48" s="4">
        <v>41724</v>
      </c>
      <c r="E48" s="11" t="s">
        <v>47</v>
      </c>
      <c r="F48" s="11" t="s">
        <v>48</v>
      </c>
      <c r="G48" s="11" t="s">
        <v>37</v>
      </c>
      <c r="H48" s="11" t="s">
        <v>34</v>
      </c>
    </row>
    <row r="49" spans="1:8" x14ac:dyDescent="0.35">
      <c r="A49" s="2" t="s">
        <v>5</v>
      </c>
      <c r="B49" s="2" t="s">
        <v>18</v>
      </c>
      <c r="C49" s="3">
        <v>4781</v>
      </c>
      <c r="D49" s="4">
        <v>41727</v>
      </c>
      <c r="E49" s="11" t="s">
        <v>94</v>
      </c>
      <c r="F49" s="11" t="s">
        <v>44</v>
      </c>
      <c r="G49" s="11" t="s">
        <v>45</v>
      </c>
      <c r="H49" s="11" t="s">
        <v>29</v>
      </c>
    </row>
    <row r="50" spans="1:8" x14ac:dyDescent="0.35">
      <c r="A50" s="2" t="s">
        <v>8</v>
      </c>
      <c r="B50" s="2" t="s">
        <v>21</v>
      </c>
      <c r="C50" s="3">
        <v>3663</v>
      </c>
      <c r="D50" s="4">
        <v>41728</v>
      </c>
      <c r="E50" s="11" t="s">
        <v>95</v>
      </c>
      <c r="F50" s="11" t="s">
        <v>36</v>
      </c>
      <c r="G50" s="11" t="s">
        <v>37</v>
      </c>
      <c r="H50" s="11" t="s">
        <v>34</v>
      </c>
    </row>
    <row r="51" spans="1:8" x14ac:dyDescent="0.35">
      <c r="A51" s="2" t="s">
        <v>10</v>
      </c>
      <c r="B51" s="2" t="s">
        <v>21</v>
      </c>
      <c r="C51" s="3">
        <v>6331</v>
      </c>
      <c r="D51" s="4">
        <v>41730</v>
      </c>
      <c r="E51" s="11" t="s">
        <v>96</v>
      </c>
      <c r="F51" s="11" t="s">
        <v>36</v>
      </c>
      <c r="G51" s="11" t="s">
        <v>37</v>
      </c>
      <c r="H51" s="11" t="s">
        <v>34</v>
      </c>
    </row>
    <row r="52" spans="1:8" x14ac:dyDescent="0.35">
      <c r="A52" s="2" t="s">
        <v>10</v>
      </c>
      <c r="B52" s="2" t="s">
        <v>18</v>
      </c>
      <c r="C52" s="3">
        <v>4364</v>
      </c>
      <c r="D52" s="4">
        <v>41730</v>
      </c>
      <c r="E52" s="11" t="s">
        <v>97</v>
      </c>
      <c r="F52" s="11" t="s">
        <v>40</v>
      </c>
      <c r="G52" s="11" t="s">
        <v>41</v>
      </c>
      <c r="H52" s="11" t="s">
        <v>29</v>
      </c>
    </row>
    <row r="53" spans="1:8" x14ac:dyDescent="0.35">
      <c r="A53" s="2" t="s">
        <v>7</v>
      </c>
      <c r="B53" s="2" t="s">
        <v>20</v>
      </c>
      <c r="C53" s="3">
        <v>607</v>
      </c>
      <c r="D53" s="4">
        <v>41732</v>
      </c>
      <c r="E53" s="11" t="s">
        <v>26</v>
      </c>
      <c r="F53" s="11" t="s">
        <v>27</v>
      </c>
      <c r="G53" s="11" t="s">
        <v>28</v>
      </c>
      <c r="H53" s="11" t="s">
        <v>38</v>
      </c>
    </row>
    <row r="54" spans="1:8" x14ac:dyDescent="0.35">
      <c r="A54" s="2" t="s">
        <v>7</v>
      </c>
      <c r="B54" s="2" t="s">
        <v>18</v>
      </c>
      <c r="C54" s="3">
        <v>7659</v>
      </c>
      <c r="D54" s="4">
        <v>41735</v>
      </c>
      <c r="E54" s="11" t="s">
        <v>30</v>
      </c>
      <c r="F54" s="11" t="s">
        <v>31</v>
      </c>
      <c r="G54" s="11" t="s">
        <v>28</v>
      </c>
      <c r="H54" s="11" t="s">
        <v>46</v>
      </c>
    </row>
    <row r="55" spans="1:8" x14ac:dyDescent="0.35">
      <c r="A55" s="2" t="s">
        <v>4</v>
      </c>
      <c r="B55" s="2" t="s">
        <v>21</v>
      </c>
      <c r="C55" s="3">
        <v>277</v>
      </c>
      <c r="D55" s="4">
        <v>41741</v>
      </c>
      <c r="E55" s="11" t="s">
        <v>56</v>
      </c>
      <c r="F55" s="11" t="s">
        <v>57</v>
      </c>
      <c r="G55" s="11" t="s">
        <v>41</v>
      </c>
      <c r="H55" s="11" t="s">
        <v>29</v>
      </c>
    </row>
    <row r="56" spans="1:8" x14ac:dyDescent="0.35">
      <c r="A56" s="2" t="s">
        <v>5</v>
      </c>
      <c r="B56" s="2" t="s">
        <v>18</v>
      </c>
      <c r="C56" s="3">
        <v>235</v>
      </c>
      <c r="D56" s="4">
        <v>41746</v>
      </c>
      <c r="E56" s="11" t="s">
        <v>58</v>
      </c>
      <c r="F56" s="11" t="s">
        <v>57</v>
      </c>
      <c r="G56" s="11" t="s">
        <v>41</v>
      </c>
      <c r="H56" s="11" t="s">
        <v>42</v>
      </c>
    </row>
    <row r="57" spans="1:8" x14ac:dyDescent="0.35">
      <c r="A57" s="2" t="s">
        <v>9</v>
      </c>
      <c r="B57" s="2" t="s">
        <v>18</v>
      </c>
      <c r="C57" s="3">
        <v>1113</v>
      </c>
      <c r="D57" s="4">
        <v>41747</v>
      </c>
      <c r="E57" s="11" t="s">
        <v>98</v>
      </c>
      <c r="F57" s="11" t="s">
        <v>99</v>
      </c>
      <c r="G57" s="11" t="s">
        <v>28</v>
      </c>
      <c r="H57" s="11" t="s">
        <v>34</v>
      </c>
    </row>
    <row r="58" spans="1:8" x14ac:dyDescent="0.35">
      <c r="A58" s="2" t="s">
        <v>10</v>
      </c>
      <c r="B58" s="2" t="s">
        <v>21</v>
      </c>
      <c r="C58" s="3">
        <v>1128</v>
      </c>
      <c r="D58" s="4">
        <v>41750</v>
      </c>
      <c r="E58" s="11" t="s">
        <v>54</v>
      </c>
      <c r="F58" s="11" t="s">
        <v>50</v>
      </c>
      <c r="G58" s="11" t="s">
        <v>41</v>
      </c>
      <c r="H58" s="11" t="s">
        <v>29</v>
      </c>
    </row>
    <row r="59" spans="1:8" x14ac:dyDescent="0.35">
      <c r="A59" s="2" t="s">
        <v>4</v>
      </c>
      <c r="B59" s="2" t="s">
        <v>18</v>
      </c>
      <c r="C59" s="3">
        <v>9231</v>
      </c>
      <c r="D59" s="4">
        <v>41751</v>
      </c>
      <c r="E59" s="11" t="s">
        <v>93</v>
      </c>
      <c r="F59" s="11" t="s">
        <v>78</v>
      </c>
      <c r="G59" s="11" t="s">
        <v>45</v>
      </c>
      <c r="H59" s="11" t="s">
        <v>42</v>
      </c>
    </row>
    <row r="60" spans="1:8" x14ac:dyDescent="0.35">
      <c r="A60" s="2" t="s">
        <v>5</v>
      </c>
      <c r="B60" s="2" t="s">
        <v>21</v>
      </c>
      <c r="C60" s="3">
        <v>4387</v>
      </c>
      <c r="D60" s="4">
        <v>41752</v>
      </c>
      <c r="E60" s="11" t="s">
        <v>100</v>
      </c>
      <c r="F60" s="11" t="s">
        <v>50</v>
      </c>
      <c r="G60" s="11" t="s">
        <v>41</v>
      </c>
      <c r="H60" s="11" t="s">
        <v>42</v>
      </c>
    </row>
    <row r="61" spans="1:8" x14ac:dyDescent="0.35">
      <c r="A61" s="2" t="s">
        <v>10</v>
      </c>
      <c r="B61" s="2" t="s">
        <v>15</v>
      </c>
      <c r="C61" s="3">
        <v>2763</v>
      </c>
      <c r="D61" s="4">
        <v>41754</v>
      </c>
      <c r="E61" s="11" t="s">
        <v>101</v>
      </c>
      <c r="F61" s="11" t="s">
        <v>48</v>
      </c>
      <c r="G61" s="11" t="s">
        <v>37</v>
      </c>
      <c r="H61" s="11" t="s">
        <v>29</v>
      </c>
    </row>
    <row r="62" spans="1:8" x14ac:dyDescent="0.35">
      <c r="A62" s="2" t="s">
        <v>5</v>
      </c>
      <c r="B62" s="2" t="s">
        <v>18</v>
      </c>
      <c r="C62" s="3">
        <v>7898</v>
      </c>
      <c r="D62" s="4">
        <v>41756</v>
      </c>
      <c r="E62" s="11" t="s">
        <v>102</v>
      </c>
      <c r="F62" s="11" t="s">
        <v>103</v>
      </c>
      <c r="G62" s="11" t="s">
        <v>63</v>
      </c>
      <c r="H62" s="11" t="s">
        <v>29</v>
      </c>
    </row>
    <row r="63" spans="1:8" x14ac:dyDescent="0.35">
      <c r="A63" s="2" t="s">
        <v>5</v>
      </c>
      <c r="B63" s="2" t="s">
        <v>18</v>
      </c>
      <c r="C63" s="3">
        <v>2427</v>
      </c>
      <c r="D63" s="4">
        <v>41759</v>
      </c>
      <c r="E63" s="11" t="s">
        <v>58</v>
      </c>
      <c r="F63" s="11" t="s">
        <v>57</v>
      </c>
      <c r="G63" s="11" t="s">
        <v>41</v>
      </c>
      <c r="H63" s="11" t="s">
        <v>38</v>
      </c>
    </row>
    <row r="64" spans="1:8" x14ac:dyDescent="0.35">
      <c r="A64" s="2" t="s">
        <v>7</v>
      </c>
      <c r="B64" s="2" t="s">
        <v>16</v>
      </c>
      <c r="C64" s="3">
        <v>2789</v>
      </c>
      <c r="D64" s="4">
        <v>41760</v>
      </c>
      <c r="E64" s="11" t="s">
        <v>68</v>
      </c>
      <c r="F64" s="11" t="s">
        <v>69</v>
      </c>
      <c r="G64" s="11" t="s">
        <v>41</v>
      </c>
      <c r="H64" s="11" t="s">
        <v>46</v>
      </c>
    </row>
    <row r="65" spans="1:8" x14ac:dyDescent="0.35">
      <c r="A65" s="2" t="s">
        <v>5</v>
      </c>
      <c r="B65" s="2" t="s">
        <v>18</v>
      </c>
      <c r="C65" s="3">
        <v>4054</v>
      </c>
      <c r="D65" s="4">
        <v>41761</v>
      </c>
      <c r="E65" s="11" t="s">
        <v>65</v>
      </c>
      <c r="F65" s="11" t="s">
        <v>66</v>
      </c>
      <c r="G65" s="11" t="s">
        <v>28</v>
      </c>
      <c r="H65" s="11" t="s">
        <v>46</v>
      </c>
    </row>
    <row r="66" spans="1:8" x14ac:dyDescent="0.35">
      <c r="A66" s="2" t="s">
        <v>8</v>
      </c>
      <c r="B66" s="2" t="s">
        <v>21</v>
      </c>
      <c r="C66" s="3">
        <v>2262</v>
      </c>
      <c r="D66" s="4">
        <v>41761</v>
      </c>
      <c r="E66" s="11" t="s">
        <v>90</v>
      </c>
      <c r="F66" s="11" t="s">
        <v>91</v>
      </c>
      <c r="G66" s="11" t="s">
        <v>63</v>
      </c>
      <c r="H66" s="11" t="s">
        <v>46</v>
      </c>
    </row>
    <row r="67" spans="1:8" x14ac:dyDescent="0.35">
      <c r="A67" s="2" t="s">
        <v>8</v>
      </c>
      <c r="B67" s="2" t="s">
        <v>19</v>
      </c>
      <c r="C67" s="3">
        <v>5600</v>
      </c>
      <c r="D67" s="4">
        <v>41761</v>
      </c>
      <c r="E67" s="11" t="s">
        <v>104</v>
      </c>
      <c r="F67" s="11" t="s">
        <v>57</v>
      </c>
      <c r="G67" s="11" t="s">
        <v>41</v>
      </c>
      <c r="H67" s="11" t="s">
        <v>34</v>
      </c>
    </row>
    <row r="68" spans="1:8" x14ac:dyDescent="0.35">
      <c r="A68" s="2" t="s">
        <v>5</v>
      </c>
      <c r="B68" s="2" t="s">
        <v>18</v>
      </c>
      <c r="C68" s="3">
        <v>5787</v>
      </c>
      <c r="D68" s="4">
        <v>41762</v>
      </c>
      <c r="E68" s="11" t="s">
        <v>68</v>
      </c>
      <c r="F68" s="11" t="s">
        <v>69</v>
      </c>
      <c r="G68" s="11" t="s">
        <v>41</v>
      </c>
      <c r="H68" s="11" t="s">
        <v>29</v>
      </c>
    </row>
    <row r="69" spans="1:8" x14ac:dyDescent="0.35">
      <c r="A69" s="2" t="s">
        <v>9</v>
      </c>
      <c r="B69" s="2" t="s">
        <v>18</v>
      </c>
      <c r="C69" s="3">
        <v>6295</v>
      </c>
      <c r="D69" s="4">
        <v>41762</v>
      </c>
      <c r="E69" s="11" t="s">
        <v>51</v>
      </c>
      <c r="F69" s="11" t="s">
        <v>52</v>
      </c>
      <c r="G69" s="11" t="s">
        <v>53</v>
      </c>
      <c r="H69" s="11" t="s">
        <v>34</v>
      </c>
    </row>
    <row r="70" spans="1:8" x14ac:dyDescent="0.35">
      <c r="A70" s="2" t="s">
        <v>5</v>
      </c>
      <c r="B70" s="2" t="s">
        <v>18</v>
      </c>
      <c r="C70" s="3">
        <v>474</v>
      </c>
      <c r="D70" s="4">
        <v>41764</v>
      </c>
      <c r="E70" s="11" t="s">
        <v>105</v>
      </c>
      <c r="F70" s="11" t="s">
        <v>50</v>
      </c>
      <c r="G70" s="11" t="s">
        <v>41</v>
      </c>
      <c r="H70" s="11" t="s">
        <v>34</v>
      </c>
    </row>
    <row r="71" spans="1:8" x14ac:dyDescent="0.35">
      <c r="A71" s="2" t="s">
        <v>10</v>
      </c>
      <c r="B71" s="2" t="s">
        <v>18</v>
      </c>
      <c r="C71" s="3">
        <v>10000</v>
      </c>
      <c r="D71" s="4">
        <v>41764</v>
      </c>
      <c r="E71" s="11" t="s">
        <v>106</v>
      </c>
      <c r="F71" s="11" t="s">
        <v>78</v>
      </c>
      <c r="G71" s="11" t="s">
        <v>45</v>
      </c>
      <c r="H71" s="11" t="s">
        <v>29</v>
      </c>
    </row>
    <row r="72" spans="1:8" x14ac:dyDescent="0.35">
      <c r="A72" s="2" t="s">
        <v>5</v>
      </c>
      <c r="B72" s="2" t="s">
        <v>18</v>
      </c>
      <c r="C72" s="3">
        <v>592</v>
      </c>
      <c r="D72" s="4">
        <v>41765</v>
      </c>
      <c r="E72" s="11" t="s">
        <v>13</v>
      </c>
      <c r="F72" s="11" t="s">
        <v>66</v>
      </c>
      <c r="G72" s="11" t="s">
        <v>28</v>
      </c>
      <c r="H72" s="11" t="s">
        <v>38</v>
      </c>
    </row>
    <row r="73" spans="1:8" x14ac:dyDescent="0.35">
      <c r="A73" s="2" t="s">
        <v>9</v>
      </c>
      <c r="B73" s="2" t="s">
        <v>18</v>
      </c>
      <c r="C73" s="3">
        <v>4330</v>
      </c>
      <c r="D73" s="4">
        <v>41767</v>
      </c>
      <c r="E73" s="11" t="s">
        <v>107</v>
      </c>
      <c r="F73" s="11" t="s">
        <v>99</v>
      </c>
      <c r="G73" s="11" t="s">
        <v>28</v>
      </c>
      <c r="H73" s="11" t="s">
        <v>46</v>
      </c>
    </row>
    <row r="74" spans="1:8" x14ac:dyDescent="0.35">
      <c r="A74" s="2" t="s">
        <v>5</v>
      </c>
      <c r="B74" s="2" t="s">
        <v>16</v>
      </c>
      <c r="C74" s="3">
        <v>9405</v>
      </c>
      <c r="D74" s="4">
        <v>41767</v>
      </c>
      <c r="E74" s="11" t="s">
        <v>108</v>
      </c>
      <c r="F74" s="11" t="s">
        <v>99</v>
      </c>
      <c r="G74" s="11" t="s">
        <v>28</v>
      </c>
      <c r="H74" s="11" t="s">
        <v>29</v>
      </c>
    </row>
    <row r="75" spans="1:8" x14ac:dyDescent="0.35">
      <c r="A75" s="2" t="s">
        <v>10</v>
      </c>
      <c r="B75" s="2" t="s">
        <v>18</v>
      </c>
      <c r="C75" s="3">
        <v>7671</v>
      </c>
      <c r="D75" s="4">
        <v>41767</v>
      </c>
      <c r="E75" s="11" t="s">
        <v>109</v>
      </c>
      <c r="F75" s="11" t="s">
        <v>50</v>
      </c>
      <c r="G75" s="11" t="s">
        <v>41</v>
      </c>
      <c r="H75" s="11" t="s">
        <v>42</v>
      </c>
    </row>
    <row r="76" spans="1:8" x14ac:dyDescent="0.35">
      <c r="A76" s="2" t="s">
        <v>7</v>
      </c>
      <c r="B76" s="2" t="s">
        <v>19</v>
      </c>
      <c r="C76" s="3">
        <v>5791</v>
      </c>
      <c r="D76" s="4">
        <v>41767</v>
      </c>
      <c r="E76" s="11" t="s">
        <v>43</v>
      </c>
      <c r="F76" s="11" t="s">
        <v>44</v>
      </c>
      <c r="G76" s="11" t="s">
        <v>45</v>
      </c>
      <c r="H76" s="11" t="s">
        <v>34</v>
      </c>
    </row>
    <row r="77" spans="1:8" x14ac:dyDescent="0.35">
      <c r="A77" s="2" t="s">
        <v>5</v>
      </c>
      <c r="B77" s="2" t="s">
        <v>18</v>
      </c>
      <c r="C77" s="3">
        <v>6007</v>
      </c>
      <c r="D77" s="4">
        <v>41771</v>
      </c>
      <c r="E77" s="11" t="s">
        <v>110</v>
      </c>
      <c r="F77" s="11" t="s">
        <v>50</v>
      </c>
      <c r="G77" s="11" t="s">
        <v>41</v>
      </c>
      <c r="H77" s="11" t="s">
        <v>29</v>
      </c>
    </row>
    <row r="78" spans="1:8" x14ac:dyDescent="0.35">
      <c r="A78" s="2" t="s">
        <v>5</v>
      </c>
      <c r="B78" s="2" t="s">
        <v>18</v>
      </c>
      <c r="C78" s="3">
        <v>5030</v>
      </c>
      <c r="D78" s="4">
        <v>41773</v>
      </c>
      <c r="E78" s="11" t="s">
        <v>58</v>
      </c>
      <c r="F78" s="11" t="s">
        <v>57</v>
      </c>
      <c r="G78" s="11" t="s">
        <v>41</v>
      </c>
      <c r="H78" s="11" t="s">
        <v>42</v>
      </c>
    </row>
    <row r="79" spans="1:8" x14ac:dyDescent="0.35">
      <c r="A79" s="2" t="s">
        <v>7</v>
      </c>
      <c r="B79" s="2" t="s">
        <v>15</v>
      </c>
      <c r="C79" s="3">
        <v>6763</v>
      </c>
      <c r="D79" s="4">
        <v>41773</v>
      </c>
      <c r="E79" s="11" t="s">
        <v>54</v>
      </c>
      <c r="F79" s="11" t="s">
        <v>50</v>
      </c>
      <c r="G79" s="11" t="s">
        <v>41</v>
      </c>
      <c r="H79" s="11" t="s">
        <v>42</v>
      </c>
    </row>
    <row r="80" spans="1:8" x14ac:dyDescent="0.35">
      <c r="A80" s="2" t="s">
        <v>5</v>
      </c>
      <c r="B80" s="2" t="s">
        <v>18</v>
      </c>
      <c r="C80" s="3">
        <v>4248</v>
      </c>
      <c r="D80" s="4">
        <v>41774</v>
      </c>
      <c r="E80" s="11" t="s">
        <v>111</v>
      </c>
      <c r="F80" s="11" t="s">
        <v>50</v>
      </c>
      <c r="G80" s="11" t="s">
        <v>41</v>
      </c>
      <c r="H80" s="11" t="s">
        <v>29</v>
      </c>
    </row>
    <row r="81" spans="1:8" x14ac:dyDescent="0.35">
      <c r="A81" s="2" t="s">
        <v>5</v>
      </c>
      <c r="B81" s="2" t="s">
        <v>18</v>
      </c>
      <c r="C81" s="3">
        <v>9543</v>
      </c>
      <c r="D81" s="4">
        <v>41775</v>
      </c>
      <c r="E81" s="11" t="s">
        <v>112</v>
      </c>
      <c r="F81" s="11" t="s">
        <v>31</v>
      </c>
      <c r="G81" s="11" t="s">
        <v>28</v>
      </c>
      <c r="H81" s="11" t="s">
        <v>29</v>
      </c>
    </row>
    <row r="82" spans="1:8" x14ac:dyDescent="0.35">
      <c r="A82" s="2" t="s">
        <v>4</v>
      </c>
      <c r="B82" s="2" t="s">
        <v>18</v>
      </c>
      <c r="C82" s="3">
        <v>2054</v>
      </c>
      <c r="D82" s="4">
        <v>41775</v>
      </c>
      <c r="E82" s="11" t="s">
        <v>113</v>
      </c>
      <c r="F82" s="11" t="s">
        <v>69</v>
      </c>
      <c r="G82" s="11" t="s">
        <v>41</v>
      </c>
      <c r="H82" s="11" t="s">
        <v>38</v>
      </c>
    </row>
    <row r="83" spans="1:8" x14ac:dyDescent="0.35">
      <c r="A83" s="2" t="s">
        <v>6</v>
      </c>
      <c r="B83" s="2" t="s">
        <v>18</v>
      </c>
      <c r="C83" s="3">
        <v>7094</v>
      </c>
      <c r="D83" s="4">
        <v>41775</v>
      </c>
      <c r="E83" s="11" t="s">
        <v>114</v>
      </c>
      <c r="F83" s="11" t="s">
        <v>40</v>
      </c>
      <c r="G83" s="11" t="s">
        <v>41</v>
      </c>
      <c r="H83" s="11" t="s">
        <v>46</v>
      </c>
    </row>
    <row r="84" spans="1:8" x14ac:dyDescent="0.35">
      <c r="A84" s="2" t="s">
        <v>7</v>
      </c>
      <c r="B84" s="2" t="s">
        <v>18</v>
      </c>
      <c r="C84" s="3">
        <v>6087</v>
      </c>
      <c r="D84" s="4">
        <v>41777</v>
      </c>
      <c r="E84" s="11" t="s">
        <v>64</v>
      </c>
      <c r="F84" s="11" t="s">
        <v>57</v>
      </c>
      <c r="G84" s="11" t="s">
        <v>41</v>
      </c>
      <c r="H84" s="11" t="s">
        <v>46</v>
      </c>
    </row>
    <row r="85" spans="1:8" x14ac:dyDescent="0.35">
      <c r="A85" s="2" t="s">
        <v>10</v>
      </c>
      <c r="B85" s="2" t="s">
        <v>18</v>
      </c>
      <c r="C85" s="3">
        <v>4264</v>
      </c>
      <c r="D85" s="4">
        <v>41778</v>
      </c>
      <c r="E85" s="11" t="s">
        <v>115</v>
      </c>
      <c r="F85" s="11" t="s">
        <v>69</v>
      </c>
      <c r="G85" s="11" t="s">
        <v>41</v>
      </c>
      <c r="H85" s="11" t="s">
        <v>46</v>
      </c>
    </row>
    <row r="86" spans="1:8" x14ac:dyDescent="0.35">
      <c r="A86" s="2" t="s">
        <v>8</v>
      </c>
      <c r="B86" s="2" t="s">
        <v>15</v>
      </c>
      <c r="C86" s="3">
        <v>9333</v>
      </c>
      <c r="D86" s="4">
        <v>41779</v>
      </c>
      <c r="E86" s="11" t="s">
        <v>49</v>
      </c>
      <c r="F86" s="11" t="s">
        <v>50</v>
      </c>
      <c r="G86" s="11" t="s">
        <v>41</v>
      </c>
      <c r="H86" s="11" t="s">
        <v>34</v>
      </c>
    </row>
    <row r="87" spans="1:8" x14ac:dyDescent="0.35">
      <c r="A87" s="2" t="s">
        <v>8</v>
      </c>
      <c r="B87" s="2" t="s">
        <v>18</v>
      </c>
      <c r="C87" s="3">
        <v>8775</v>
      </c>
      <c r="D87" s="4">
        <v>41781</v>
      </c>
      <c r="E87" s="11" t="s">
        <v>116</v>
      </c>
      <c r="F87" s="11" t="s">
        <v>57</v>
      </c>
      <c r="G87" s="11" t="s">
        <v>41</v>
      </c>
      <c r="H87" s="11" t="s">
        <v>29</v>
      </c>
    </row>
    <row r="88" spans="1:8" x14ac:dyDescent="0.35">
      <c r="A88" s="2" t="s">
        <v>4</v>
      </c>
      <c r="B88" s="2" t="s">
        <v>16</v>
      </c>
      <c r="C88" s="3">
        <v>2011</v>
      </c>
      <c r="D88" s="4">
        <v>41782</v>
      </c>
      <c r="E88" s="11" t="s">
        <v>51</v>
      </c>
      <c r="F88" s="11" t="s">
        <v>52</v>
      </c>
      <c r="G88" s="11" t="s">
        <v>53</v>
      </c>
      <c r="H88" s="11" t="s">
        <v>34</v>
      </c>
    </row>
    <row r="89" spans="1:8" x14ac:dyDescent="0.35">
      <c r="A89" s="2" t="s">
        <v>5</v>
      </c>
      <c r="B89" s="2" t="s">
        <v>18</v>
      </c>
      <c r="C89" s="3">
        <v>5632</v>
      </c>
      <c r="D89" s="4">
        <v>41784</v>
      </c>
      <c r="E89" s="11" t="s">
        <v>117</v>
      </c>
      <c r="F89" s="11" t="s">
        <v>57</v>
      </c>
      <c r="G89" s="11" t="s">
        <v>41</v>
      </c>
      <c r="H89" s="11" t="s">
        <v>34</v>
      </c>
    </row>
    <row r="90" spans="1:8" x14ac:dyDescent="0.35">
      <c r="A90" s="2" t="s">
        <v>6</v>
      </c>
      <c r="B90" s="2" t="s">
        <v>18</v>
      </c>
      <c r="C90" s="3">
        <v>1002</v>
      </c>
      <c r="D90" s="4">
        <v>41784</v>
      </c>
      <c r="E90" s="11" t="s">
        <v>65</v>
      </c>
      <c r="F90" s="11" t="s">
        <v>66</v>
      </c>
      <c r="G90" s="11" t="s">
        <v>28</v>
      </c>
      <c r="H90" s="11" t="s">
        <v>29</v>
      </c>
    </row>
    <row r="91" spans="1:8" x14ac:dyDescent="0.35">
      <c r="A91" s="2" t="s">
        <v>9</v>
      </c>
      <c r="B91" s="2" t="s">
        <v>18</v>
      </c>
      <c r="C91" s="3">
        <v>8141</v>
      </c>
      <c r="D91" s="4">
        <v>41785</v>
      </c>
      <c r="E91" s="11" t="s">
        <v>118</v>
      </c>
      <c r="F91" s="11" t="s">
        <v>57</v>
      </c>
      <c r="G91" s="11" t="s">
        <v>41</v>
      </c>
      <c r="H91" s="11" t="s">
        <v>38</v>
      </c>
    </row>
    <row r="92" spans="1:8" x14ac:dyDescent="0.35">
      <c r="A92" s="2" t="s">
        <v>9</v>
      </c>
      <c r="B92" s="2" t="s">
        <v>18</v>
      </c>
      <c r="C92" s="3">
        <v>3644</v>
      </c>
      <c r="D92" s="4">
        <v>41785</v>
      </c>
      <c r="E92" s="11" t="s">
        <v>74</v>
      </c>
      <c r="F92" s="11" t="s">
        <v>36</v>
      </c>
      <c r="G92" s="11" t="s">
        <v>37</v>
      </c>
      <c r="H92" s="11" t="s">
        <v>46</v>
      </c>
    </row>
    <row r="93" spans="1:8" x14ac:dyDescent="0.35">
      <c r="A93" s="2" t="s">
        <v>9</v>
      </c>
      <c r="B93" s="2" t="s">
        <v>18</v>
      </c>
      <c r="C93" s="3">
        <v>1380</v>
      </c>
      <c r="D93" s="4">
        <v>41785</v>
      </c>
      <c r="E93" s="11" t="s">
        <v>119</v>
      </c>
      <c r="F93" s="11" t="s">
        <v>120</v>
      </c>
      <c r="G93" s="11" t="s">
        <v>41</v>
      </c>
      <c r="H93" s="11" t="s">
        <v>29</v>
      </c>
    </row>
    <row r="94" spans="1:8" x14ac:dyDescent="0.35">
      <c r="A94" s="2" t="s">
        <v>4</v>
      </c>
      <c r="B94" s="2" t="s">
        <v>16</v>
      </c>
      <c r="C94" s="3">
        <v>8354</v>
      </c>
      <c r="D94" s="4">
        <v>41785</v>
      </c>
      <c r="E94" s="11" t="s">
        <v>87</v>
      </c>
      <c r="F94" s="11" t="s">
        <v>52</v>
      </c>
      <c r="G94" s="11" t="s">
        <v>53</v>
      </c>
      <c r="H94" s="11" t="s">
        <v>42</v>
      </c>
    </row>
    <row r="95" spans="1:8" x14ac:dyDescent="0.35">
      <c r="A95" s="2" t="s">
        <v>5</v>
      </c>
      <c r="B95" s="2" t="s">
        <v>16</v>
      </c>
      <c r="C95" s="3">
        <v>5182</v>
      </c>
      <c r="D95" s="4">
        <v>41786</v>
      </c>
      <c r="E95" s="11" t="s">
        <v>121</v>
      </c>
      <c r="F95" s="11" t="s">
        <v>122</v>
      </c>
      <c r="G95" s="11" t="s">
        <v>37</v>
      </c>
      <c r="H95" s="11" t="s">
        <v>34</v>
      </c>
    </row>
    <row r="96" spans="1:8" x14ac:dyDescent="0.35">
      <c r="A96" s="2" t="s">
        <v>10</v>
      </c>
      <c r="B96" s="2" t="s">
        <v>18</v>
      </c>
      <c r="C96" s="3">
        <v>2193</v>
      </c>
      <c r="D96" s="4">
        <v>41786</v>
      </c>
      <c r="E96" s="11" t="s">
        <v>123</v>
      </c>
      <c r="F96" s="11" t="s">
        <v>84</v>
      </c>
      <c r="G96" s="11" t="s">
        <v>28</v>
      </c>
      <c r="H96" s="11" t="s">
        <v>29</v>
      </c>
    </row>
    <row r="97" spans="1:8" x14ac:dyDescent="0.35">
      <c r="A97" s="2" t="s">
        <v>8</v>
      </c>
      <c r="B97" s="2" t="s">
        <v>18</v>
      </c>
      <c r="C97" s="3">
        <v>3647</v>
      </c>
      <c r="D97" s="4">
        <v>41787</v>
      </c>
      <c r="E97" s="11" t="s">
        <v>124</v>
      </c>
      <c r="F97" s="11" t="s">
        <v>62</v>
      </c>
      <c r="G97" s="11" t="s">
        <v>63</v>
      </c>
      <c r="H97" s="11" t="s">
        <v>42</v>
      </c>
    </row>
    <row r="98" spans="1:8" x14ac:dyDescent="0.35">
      <c r="A98" s="2" t="s">
        <v>10</v>
      </c>
      <c r="B98" s="2" t="s">
        <v>18</v>
      </c>
      <c r="C98" s="3">
        <v>4104</v>
      </c>
      <c r="D98" s="4">
        <v>41787</v>
      </c>
      <c r="E98" s="11" t="s">
        <v>125</v>
      </c>
      <c r="F98" s="11" t="s">
        <v>44</v>
      </c>
      <c r="G98" s="11" t="s">
        <v>45</v>
      </c>
      <c r="H98" s="11" t="s">
        <v>42</v>
      </c>
    </row>
    <row r="99" spans="1:8" x14ac:dyDescent="0.35">
      <c r="A99" s="2" t="s">
        <v>7</v>
      </c>
      <c r="B99" s="2" t="s">
        <v>18</v>
      </c>
      <c r="C99" s="3">
        <v>7457</v>
      </c>
      <c r="D99" s="4">
        <v>41787</v>
      </c>
      <c r="E99" s="11" t="s">
        <v>126</v>
      </c>
      <c r="F99" s="11" t="s">
        <v>31</v>
      </c>
      <c r="G99" s="11" t="s">
        <v>28</v>
      </c>
      <c r="H99" s="11" t="s">
        <v>29</v>
      </c>
    </row>
    <row r="100" spans="1:8" x14ac:dyDescent="0.35">
      <c r="A100" s="2" t="s">
        <v>8</v>
      </c>
      <c r="B100" s="2" t="s">
        <v>18</v>
      </c>
      <c r="C100" s="3">
        <v>3767</v>
      </c>
      <c r="D100" s="4">
        <v>41788</v>
      </c>
      <c r="E100" s="11" t="s">
        <v>115</v>
      </c>
      <c r="F100" s="11" t="s">
        <v>69</v>
      </c>
      <c r="G100" s="11" t="s">
        <v>41</v>
      </c>
      <c r="H100" s="11" t="s">
        <v>29</v>
      </c>
    </row>
    <row r="101" spans="1:8" x14ac:dyDescent="0.35">
      <c r="A101" s="2" t="s">
        <v>4</v>
      </c>
      <c r="B101" s="2" t="s">
        <v>18</v>
      </c>
      <c r="C101" s="3">
        <v>4685</v>
      </c>
      <c r="D101" s="4">
        <v>41789</v>
      </c>
      <c r="E101" s="11" t="s">
        <v>95</v>
      </c>
      <c r="F101" s="11" t="s">
        <v>36</v>
      </c>
      <c r="G101" s="11" t="s">
        <v>37</v>
      </c>
      <c r="H101" s="11" t="s">
        <v>38</v>
      </c>
    </row>
    <row r="102" spans="1:8" x14ac:dyDescent="0.35">
      <c r="A102" s="2" t="s">
        <v>5</v>
      </c>
      <c r="B102" s="2" t="s">
        <v>16</v>
      </c>
      <c r="C102" s="3">
        <v>3917</v>
      </c>
      <c r="D102" s="4">
        <v>41794</v>
      </c>
      <c r="E102" s="11" t="s">
        <v>127</v>
      </c>
      <c r="F102" s="11" t="s">
        <v>128</v>
      </c>
      <c r="G102" s="11" t="s">
        <v>28</v>
      </c>
      <c r="H102" s="11" t="s">
        <v>46</v>
      </c>
    </row>
    <row r="103" spans="1:8" x14ac:dyDescent="0.35">
      <c r="A103" s="2" t="s">
        <v>10</v>
      </c>
      <c r="B103" s="2" t="s">
        <v>18</v>
      </c>
      <c r="C103" s="3">
        <v>521</v>
      </c>
      <c r="D103" s="4">
        <v>41794</v>
      </c>
      <c r="E103" s="11" t="s">
        <v>129</v>
      </c>
      <c r="F103" s="11" t="s">
        <v>44</v>
      </c>
      <c r="G103" s="11" t="s">
        <v>45</v>
      </c>
      <c r="H103" s="11" t="s">
        <v>46</v>
      </c>
    </row>
    <row r="104" spans="1:8" x14ac:dyDescent="0.35">
      <c r="A104" s="2" t="s">
        <v>10</v>
      </c>
      <c r="B104" s="2" t="s">
        <v>18</v>
      </c>
      <c r="C104" s="3">
        <v>5605</v>
      </c>
      <c r="D104" s="4">
        <v>41800</v>
      </c>
      <c r="E104" s="11" t="s">
        <v>130</v>
      </c>
      <c r="F104" s="11" t="s">
        <v>69</v>
      </c>
      <c r="G104" s="11" t="s">
        <v>41</v>
      </c>
      <c r="H104" s="11" t="s">
        <v>46</v>
      </c>
    </row>
    <row r="105" spans="1:8" x14ac:dyDescent="0.35">
      <c r="A105" s="2" t="s">
        <v>4</v>
      </c>
      <c r="B105" s="2" t="s">
        <v>18</v>
      </c>
      <c r="C105" s="3">
        <v>9630</v>
      </c>
      <c r="D105" s="4">
        <v>41801</v>
      </c>
      <c r="E105" s="11" t="s">
        <v>131</v>
      </c>
      <c r="F105" s="11" t="s">
        <v>50</v>
      </c>
      <c r="G105" s="11" t="s">
        <v>41</v>
      </c>
      <c r="H105" s="11" t="s">
        <v>34</v>
      </c>
    </row>
    <row r="106" spans="1:8" x14ac:dyDescent="0.35">
      <c r="A106" s="2" t="s">
        <v>5</v>
      </c>
      <c r="B106" s="2" t="s">
        <v>18</v>
      </c>
      <c r="C106" s="3">
        <v>6941</v>
      </c>
      <c r="D106" s="4">
        <v>41810</v>
      </c>
      <c r="E106" s="11" t="s">
        <v>88</v>
      </c>
      <c r="F106" s="11" t="s">
        <v>48</v>
      </c>
      <c r="G106" s="11" t="s">
        <v>37</v>
      </c>
      <c r="H106" s="11" t="s">
        <v>29</v>
      </c>
    </row>
    <row r="107" spans="1:8" x14ac:dyDescent="0.35">
      <c r="A107" s="2" t="s">
        <v>4</v>
      </c>
      <c r="B107" s="2" t="s">
        <v>15</v>
      </c>
      <c r="C107" s="3">
        <v>7231</v>
      </c>
      <c r="D107" s="4">
        <v>41810</v>
      </c>
      <c r="E107" s="11" t="s">
        <v>132</v>
      </c>
      <c r="F107" s="11" t="s">
        <v>50</v>
      </c>
      <c r="G107" s="11" t="s">
        <v>41</v>
      </c>
      <c r="H107" s="11" t="s">
        <v>34</v>
      </c>
    </row>
    <row r="108" spans="1:8" x14ac:dyDescent="0.35">
      <c r="A108" s="2" t="s">
        <v>4</v>
      </c>
      <c r="B108" s="2" t="s">
        <v>18</v>
      </c>
      <c r="C108" s="3">
        <v>8891</v>
      </c>
      <c r="D108" s="4">
        <v>41813</v>
      </c>
      <c r="E108" s="11" t="s">
        <v>133</v>
      </c>
      <c r="F108" s="11" t="s">
        <v>134</v>
      </c>
      <c r="G108" s="11" t="s">
        <v>63</v>
      </c>
      <c r="H108" s="11" t="s">
        <v>34</v>
      </c>
    </row>
    <row r="109" spans="1:8" x14ac:dyDescent="0.35">
      <c r="A109" s="2" t="s">
        <v>5</v>
      </c>
      <c r="B109" s="2" t="s">
        <v>16</v>
      </c>
      <c r="C109" s="3">
        <v>107</v>
      </c>
      <c r="D109" s="4">
        <v>41815</v>
      </c>
      <c r="E109" s="11" t="s">
        <v>104</v>
      </c>
      <c r="F109" s="11" t="s">
        <v>57</v>
      </c>
      <c r="G109" s="11" t="s">
        <v>41</v>
      </c>
      <c r="H109" s="11" t="s">
        <v>29</v>
      </c>
    </row>
    <row r="110" spans="1:8" x14ac:dyDescent="0.35">
      <c r="A110" s="2" t="s">
        <v>5</v>
      </c>
      <c r="B110" s="2" t="s">
        <v>16</v>
      </c>
      <c r="C110" s="3">
        <v>4243</v>
      </c>
      <c r="D110" s="4">
        <v>41816</v>
      </c>
      <c r="E110" s="11" t="s">
        <v>135</v>
      </c>
      <c r="F110" s="11" t="s">
        <v>50</v>
      </c>
      <c r="G110" s="11" t="s">
        <v>41</v>
      </c>
      <c r="H110" s="11" t="s">
        <v>38</v>
      </c>
    </row>
    <row r="111" spans="1:8" x14ac:dyDescent="0.35">
      <c r="A111" s="2" t="s">
        <v>9</v>
      </c>
      <c r="B111" s="2" t="s">
        <v>18</v>
      </c>
      <c r="C111" s="3">
        <v>4514</v>
      </c>
      <c r="D111" s="4">
        <v>41817</v>
      </c>
      <c r="E111" s="11" t="s">
        <v>136</v>
      </c>
      <c r="F111" s="11" t="s">
        <v>36</v>
      </c>
      <c r="G111" s="11" t="s">
        <v>37</v>
      </c>
      <c r="H111" s="11" t="s">
        <v>46</v>
      </c>
    </row>
    <row r="112" spans="1:8" x14ac:dyDescent="0.35">
      <c r="A112" s="2" t="s">
        <v>8</v>
      </c>
      <c r="B112" s="2" t="s">
        <v>18</v>
      </c>
      <c r="C112" s="3">
        <v>5480</v>
      </c>
      <c r="D112" s="4">
        <v>41822</v>
      </c>
      <c r="E112" s="11" t="s">
        <v>61</v>
      </c>
      <c r="F112" s="11" t="s">
        <v>62</v>
      </c>
      <c r="G112" s="11" t="s">
        <v>63</v>
      </c>
      <c r="H112" s="11" t="s">
        <v>29</v>
      </c>
    </row>
    <row r="113" spans="1:8" x14ac:dyDescent="0.35">
      <c r="A113" s="2" t="s">
        <v>5</v>
      </c>
      <c r="B113" s="2" t="s">
        <v>18</v>
      </c>
      <c r="C113" s="3">
        <v>5002</v>
      </c>
      <c r="D113" s="4">
        <v>41822</v>
      </c>
      <c r="E113" s="11" t="s">
        <v>30</v>
      </c>
      <c r="F113" s="11" t="s">
        <v>31</v>
      </c>
      <c r="G113" s="11" t="s">
        <v>28</v>
      </c>
      <c r="H113" s="11" t="s">
        <v>42</v>
      </c>
    </row>
    <row r="114" spans="1:8" x14ac:dyDescent="0.35">
      <c r="A114" s="2" t="s">
        <v>5</v>
      </c>
      <c r="B114" s="2" t="s">
        <v>18</v>
      </c>
      <c r="C114" s="3">
        <v>8530</v>
      </c>
      <c r="D114" s="4">
        <v>41825</v>
      </c>
      <c r="E114" s="11" t="s">
        <v>98</v>
      </c>
      <c r="F114" s="11" t="s">
        <v>99</v>
      </c>
      <c r="G114" s="11" t="s">
        <v>28</v>
      </c>
      <c r="H114" s="11" t="s">
        <v>34</v>
      </c>
    </row>
    <row r="115" spans="1:8" x14ac:dyDescent="0.35">
      <c r="A115" s="2" t="s">
        <v>4</v>
      </c>
      <c r="B115" s="2" t="s">
        <v>18</v>
      </c>
      <c r="C115" s="3">
        <v>6343</v>
      </c>
      <c r="D115" s="4">
        <v>41831</v>
      </c>
      <c r="E115" s="11" t="s">
        <v>137</v>
      </c>
      <c r="F115" s="11" t="s">
        <v>50</v>
      </c>
      <c r="G115" s="11" t="s">
        <v>41</v>
      </c>
      <c r="H115" s="11" t="s">
        <v>29</v>
      </c>
    </row>
    <row r="116" spans="1:8" x14ac:dyDescent="0.35">
      <c r="A116" s="2" t="s">
        <v>9</v>
      </c>
      <c r="B116" s="2" t="s">
        <v>15</v>
      </c>
      <c r="C116" s="3">
        <v>2318</v>
      </c>
      <c r="D116" s="4">
        <v>41833</v>
      </c>
      <c r="E116" s="11" t="s">
        <v>138</v>
      </c>
      <c r="F116" s="11" t="s">
        <v>50</v>
      </c>
      <c r="G116" s="11" t="s">
        <v>41</v>
      </c>
      <c r="H116" s="11" t="s">
        <v>42</v>
      </c>
    </row>
    <row r="117" spans="1:8" x14ac:dyDescent="0.35">
      <c r="A117" s="2" t="s">
        <v>9</v>
      </c>
      <c r="B117" s="2" t="s">
        <v>18</v>
      </c>
      <c r="C117" s="3">
        <v>220</v>
      </c>
      <c r="D117" s="4">
        <v>41840</v>
      </c>
      <c r="E117" s="11" t="s">
        <v>139</v>
      </c>
      <c r="F117" s="11" t="s">
        <v>48</v>
      </c>
      <c r="G117" s="11" t="s">
        <v>37</v>
      </c>
      <c r="H117" s="11" t="s">
        <v>42</v>
      </c>
    </row>
    <row r="118" spans="1:8" x14ac:dyDescent="0.35">
      <c r="A118" s="2" t="s">
        <v>10</v>
      </c>
      <c r="B118" s="2" t="s">
        <v>18</v>
      </c>
      <c r="C118" s="3">
        <v>330</v>
      </c>
      <c r="D118" s="4">
        <v>41840</v>
      </c>
      <c r="E118" s="11" t="s">
        <v>140</v>
      </c>
      <c r="F118" s="11" t="s">
        <v>50</v>
      </c>
      <c r="G118" s="11" t="s">
        <v>41</v>
      </c>
      <c r="H118" s="11" t="s">
        <v>29</v>
      </c>
    </row>
    <row r="119" spans="1:8" x14ac:dyDescent="0.35">
      <c r="A119" s="2" t="s">
        <v>4</v>
      </c>
      <c r="B119" s="2" t="s">
        <v>18</v>
      </c>
      <c r="C119" s="3">
        <v>3027</v>
      </c>
      <c r="D119" s="4">
        <v>41840</v>
      </c>
      <c r="E119" s="11" t="s">
        <v>141</v>
      </c>
      <c r="F119" s="11" t="s">
        <v>44</v>
      </c>
      <c r="G119" s="11" t="s">
        <v>45</v>
      </c>
      <c r="H119" s="11" t="s">
        <v>29</v>
      </c>
    </row>
    <row r="120" spans="1:8" x14ac:dyDescent="0.35">
      <c r="A120" s="2" t="s">
        <v>5</v>
      </c>
      <c r="B120" s="2" t="s">
        <v>18</v>
      </c>
      <c r="C120" s="3">
        <v>8986</v>
      </c>
      <c r="D120" s="4">
        <v>41843</v>
      </c>
      <c r="E120" s="11" t="s">
        <v>142</v>
      </c>
      <c r="F120" s="11" t="s">
        <v>50</v>
      </c>
      <c r="G120" s="11" t="s">
        <v>41</v>
      </c>
      <c r="H120" s="11" t="s">
        <v>38</v>
      </c>
    </row>
    <row r="121" spans="1:8" x14ac:dyDescent="0.35">
      <c r="A121" s="2" t="s">
        <v>4</v>
      </c>
      <c r="B121" s="2" t="s">
        <v>16</v>
      </c>
      <c r="C121" s="3">
        <v>3800</v>
      </c>
      <c r="D121" s="4">
        <v>41845</v>
      </c>
      <c r="E121" s="11" t="s">
        <v>143</v>
      </c>
      <c r="F121" s="11" t="s">
        <v>57</v>
      </c>
      <c r="G121" s="11" t="s">
        <v>41</v>
      </c>
      <c r="H121" s="11" t="s">
        <v>46</v>
      </c>
    </row>
    <row r="122" spans="1:8" x14ac:dyDescent="0.35">
      <c r="A122" s="2" t="s">
        <v>7</v>
      </c>
      <c r="B122" s="2" t="s">
        <v>18</v>
      </c>
      <c r="C122" s="3">
        <v>5751</v>
      </c>
      <c r="D122" s="4">
        <v>41848</v>
      </c>
      <c r="E122" s="11" t="s">
        <v>93</v>
      </c>
      <c r="F122" s="11" t="s">
        <v>78</v>
      </c>
      <c r="G122" s="11" t="s">
        <v>45</v>
      </c>
      <c r="H122" s="11" t="s">
        <v>46</v>
      </c>
    </row>
    <row r="123" spans="1:8" x14ac:dyDescent="0.35">
      <c r="A123" s="2" t="s">
        <v>10</v>
      </c>
      <c r="B123" s="2" t="s">
        <v>18</v>
      </c>
      <c r="C123" s="3">
        <v>1704</v>
      </c>
      <c r="D123" s="4">
        <v>41849</v>
      </c>
      <c r="E123" s="11" t="s">
        <v>144</v>
      </c>
      <c r="F123" s="11" t="s">
        <v>120</v>
      </c>
      <c r="G123" s="11" t="s">
        <v>41</v>
      </c>
      <c r="H123" s="11" t="s">
        <v>46</v>
      </c>
    </row>
    <row r="124" spans="1:8" x14ac:dyDescent="0.35">
      <c r="A124" s="2" t="s">
        <v>5</v>
      </c>
      <c r="B124" s="2" t="s">
        <v>16</v>
      </c>
      <c r="C124" s="3">
        <v>7966</v>
      </c>
      <c r="D124" s="4">
        <v>41850</v>
      </c>
      <c r="E124" s="11" t="s">
        <v>145</v>
      </c>
      <c r="F124" s="11" t="s">
        <v>62</v>
      </c>
      <c r="G124" s="11" t="s">
        <v>63</v>
      </c>
      <c r="H124" s="11" t="s">
        <v>34</v>
      </c>
    </row>
    <row r="125" spans="1:8" x14ac:dyDescent="0.35">
      <c r="A125" s="2" t="s">
        <v>5</v>
      </c>
      <c r="B125" s="2" t="s">
        <v>16</v>
      </c>
      <c r="C125" s="3">
        <v>852</v>
      </c>
      <c r="D125" s="4">
        <v>41851</v>
      </c>
      <c r="E125" s="11" t="s">
        <v>54</v>
      </c>
      <c r="F125" s="11" t="s">
        <v>50</v>
      </c>
      <c r="G125" s="11" t="s">
        <v>41</v>
      </c>
      <c r="H125" s="11" t="s">
        <v>29</v>
      </c>
    </row>
    <row r="126" spans="1:8" x14ac:dyDescent="0.35">
      <c r="A126" s="2" t="s">
        <v>6</v>
      </c>
      <c r="B126" s="2" t="s">
        <v>16</v>
      </c>
      <c r="C126" s="3">
        <v>8416</v>
      </c>
      <c r="D126" s="4">
        <v>41851</v>
      </c>
      <c r="E126" s="11" t="s">
        <v>146</v>
      </c>
      <c r="F126" s="11" t="s">
        <v>72</v>
      </c>
      <c r="G126" s="11" t="s">
        <v>41</v>
      </c>
      <c r="H126" s="11" t="s">
        <v>34</v>
      </c>
    </row>
    <row r="127" spans="1:8" x14ac:dyDescent="0.35">
      <c r="A127" s="2" t="s">
        <v>5</v>
      </c>
      <c r="B127" s="2" t="s">
        <v>16</v>
      </c>
      <c r="C127" s="3">
        <v>7144</v>
      </c>
      <c r="D127" s="4">
        <v>41852</v>
      </c>
      <c r="E127" s="11" t="s">
        <v>56</v>
      </c>
      <c r="F127" s="11" t="s">
        <v>57</v>
      </c>
      <c r="G127" s="11" t="s">
        <v>41</v>
      </c>
      <c r="H127" s="11" t="s">
        <v>34</v>
      </c>
    </row>
    <row r="128" spans="1:8" x14ac:dyDescent="0.35">
      <c r="A128" s="2" t="s">
        <v>4</v>
      </c>
      <c r="B128" s="2" t="s">
        <v>16</v>
      </c>
      <c r="C128" s="3">
        <v>7854</v>
      </c>
      <c r="D128" s="4">
        <v>41852</v>
      </c>
      <c r="E128" s="11" t="s">
        <v>147</v>
      </c>
      <c r="F128" s="11" t="s">
        <v>148</v>
      </c>
      <c r="G128" s="11" t="s">
        <v>63</v>
      </c>
      <c r="H128" s="11" t="s">
        <v>29</v>
      </c>
    </row>
    <row r="129" spans="1:8" x14ac:dyDescent="0.35">
      <c r="A129" s="2" t="s">
        <v>9</v>
      </c>
      <c r="B129" s="2" t="s">
        <v>18</v>
      </c>
      <c r="C129" s="3">
        <v>859</v>
      </c>
      <c r="D129" s="4">
        <v>41854</v>
      </c>
      <c r="E129" s="11" t="s">
        <v>60</v>
      </c>
      <c r="F129" s="11" t="s">
        <v>36</v>
      </c>
      <c r="G129" s="11" t="s">
        <v>37</v>
      </c>
      <c r="H129" s="11" t="s">
        <v>38</v>
      </c>
    </row>
    <row r="130" spans="1:8" x14ac:dyDescent="0.35">
      <c r="A130" s="2" t="s">
        <v>4</v>
      </c>
      <c r="B130" s="2" t="s">
        <v>18</v>
      </c>
      <c r="C130" s="3">
        <v>8049</v>
      </c>
      <c r="D130" s="4">
        <v>41863</v>
      </c>
      <c r="E130" s="11" t="s">
        <v>149</v>
      </c>
      <c r="F130" s="11" t="s">
        <v>69</v>
      </c>
      <c r="G130" s="11" t="s">
        <v>41</v>
      </c>
      <c r="H130" s="11" t="s">
        <v>46</v>
      </c>
    </row>
    <row r="131" spans="1:8" x14ac:dyDescent="0.35">
      <c r="A131" s="2" t="s">
        <v>5</v>
      </c>
      <c r="B131" s="2" t="s">
        <v>18</v>
      </c>
      <c r="C131" s="3">
        <v>2836</v>
      </c>
      <c r="D131" s="4">
        <v>41864</v>
      </c>
      <c r="E131" s="11" t="s">
        <v>49</v>
      </c>
      <c r="F131" s="11" t="s">
        <v>50</v>
      </c>
      <c r="G131" s="11" t="s">
        <v>41</v>
      </c>
      <c r="H131" s="11" t="s">
        <v>29</v>
      </c>
    </row>
    <row r="132" spans="1:8" x14ac:dyDescent="0.35">
      <c r="A132" s="2" t="s">
        <v>7</v>
      </c>
      <c r="B132" s="2" t="s">
        <v>18</v>
      </c>
      <c r="C132" s="3">
        <v>1743</v>
      </c>
      <c r="D132" s="4">
        <v>41870</v>
      </c>
      <c r="E132" s="11" t="s">
        <v>89</v>
      </c>
      <c r="F132" s="11" t="s">
        <v>72</v>
      </c>
      <c r="G132" s="11" t="s">
        <v>41</v>
      </c>
      <c r="H132" s="11" t="s">
        <v>42</v>
      </c>
    </row>
    <row r="133" spans="1:8" x14ac:dyDescent="0.35">
      <c r="A133" s="2" t="s">
        <v>10</v>
      </c>
      <c r="B133" s="2" t="s">
        <v>18</v>
      </c>
      <c r="C133" s="3">
        <v>3844</v>
      </c>
      <c r="D133" s="4">
        <v>41874</v>
      </c>
      <c r="E133" s="11" t="s">
        <v>144</v>
      </c>
      <c r="F133" s="11" t="s">
        <v>120</v>
      </c>
      <c r="G133" s="11" t="s">
        <v>41</v>
      </c>
      <c r="H133" s="11" t="s">
        <v>34</v>
      </c>
    </row>
    <row r="134" spans="1:8" x14ac:dyDescent="0.35">
      <c r="A134" s="2" t="s">
        <v>10</v>
      </c>
      <c r="B134" s="2" t="s">
        <v>18</v>
      </c>
      <c r="C134" s="3">
        <v>7490</v>
      </c>
      <c r="D134" s="4">
        <v>41875</v>
      </c>
      <c r="E134" s="11" t="s">
        <v>74</v>
      </c>
      <c r="F134" s="11" t="s">
        <v>36</v>
      </c>
      <c r="G134" s="11" t="s">
        <v>37</v>
      </c>
      <c r="H134" s="11" t="s">
        <v>29</v>
      </c>
    </row>
    <row r="135" spans="1:8" x14ac:dyDescent="0.35">
      <c r="A135" s="2" t="s">
        <v>4</v>
      </c>
      <c r="B135" s="2" t="s">
        <v>16</v>
      </c>
      <c r="C135" s="3">
        <v>4483</v>
      </c>
      <c r="D135" s="4">
        <v>41876</v>
      </c>
      <c r="E135" s="11" t="s">
        <v>115</v>
      </c>
      <c r="F135" s="11" t="s">
        <v>69</v>
      </c>
      <c r="G135" s="11" t="s">
        <v>41</v>
      </c>
      <c r="H135" s="11" t="s">
        <v>42</v>
      </c>
    </row>
    <row r="136" spans="1:8" x14ac:dyDescent="0.35">
      <c r="A136" s="2" t="s">
        <v>10</v>
      </c>
      <c r="B136" s="2" t="s">
        <v>18</v>
      </c>
      <c r="C136" s="3">
        <v>7333</v>
      </c>
      <c r="D136" s="4">
        <v>41878</v>
      </c>
      <c r="E136" s="11" t="s">
        <v>58</v>
      </c>
      <c r="F136" s="11" t="s">
        <v>57</v>
      </c>
      <c r="G136" s="11" t="s">
        <v>41</v>
      </c>
      <c r="H136" s="11" t="s">
        <v>42</v>
      </c>
    </row>
    <row r="137" spans="1:8" x14ac:dyDescent="0.35">
      <c r="A137" s="2" t="s">
        <v>7</v>
      </c>
      <c r="B137" s="2" t="s">
        <v>18</v>
      </c>
      <c r="C137" s="3">
        <v>7654</v>
      </c>
      <c r="D137" s="4">
        <v>41879</v>
      </c>
      <c r="E137" s="11" t="s">
        <v>101</v>
      </c>
      <c r="F137" s="11" t="s">
        <v>48</v>
      </c>
      <c r="G137" s="11" t="s">
        <v>37</v>
      </c>
      <c r="H137" s="11" t="s">
        <v>29</v>
      </c>
    </row>
    <row r="138" spans="1:8" x14ac:dyDescent="0.35">
      <c r="A138" s="2" t="s">
        <v>10</v>
      </c>
      <c r="B138" s="2" t="s">
        <v>18</v>
      </c>
      <c r="C138" s="3">
        <v>3944</v>
      </c>
      <c r="D138" s="4">
        <v>41880</v>
      </c>
      <c r="E138" s="11" t="s">
        <v>89</v>
      </c>
      <c r="F138" s="11" t="s">
        <v>72</v>
      </c>
      <c r="G138" s="11" t="s">
        <v>41</v>
      </c>
      <c r="H138" s="11" t="s">
        <v>29</v>
      </c>
    </row>
    <row r="139" spans="1:8" x14ac:dyDescent="0.35">
      <c r="A139" s="2" t="s">
        <v>6</v>
      </c>
      <c r="B139" s="2" t="s">
        <v>18</v>
      </c>
      <c r="C139" s="3">
        <v>5761</v>
      </c>
      <c r="D139" s="4">
        <v>41880</v>
      </c>
      <c r="E139" s="11" t="s">
        <v>150</v>
      </c>
      <c r="F139" s="11" t="s">
        <v>36</v>
      </c>
      <c r="G139" s="11" t="s">
        <v>37</v>
      </c>
      <c r="H139" s="11" t="s">
        <v>38</v>
      </c>
    </row>
    <row r="140" spans="1:8" x14ac:dyDescent="0.35">
      <c r="A140" s="2" t="s">
        <v>5</v>
      </c>
      <c r="B140" s="2" t="s">
        <v>18</v>
      </c>
      <c r="C140" s="3">
        <v>4016</v>
      </c>
      <c r="D140" s="4">
        <v>41883</v>
      </c>
      <c r="E140" s="11" t="s">
        <v>54</v>
      </c>
      <c r="F140" s="11" t="s">
        <v>50</v>
      </c>
      <c r="G140" s="11" t="s">
        <v>41</v>
      </c>
      <c r="H140" s="11" t="s">
        <v>46</v>
      </c>
    </row>
    <row r="141" spans="1:8" x14ac:dyDescent="0.35">
      <c r="A141" s="2" t="s">
        <v>5</v>
      </c>
      <c r="B141" s="2" t="s">
        <v>18</v>
      </c>
      <c r="C141" s="3">
        <v>1841</v>
      </c>
      <c r="D141" s="4">
        <v>41884</v>
      </c>
      <c r="E141" s="11" t="s">
        <v>110</v>
      </c>
      <c r="F141" s="11" t="s">
        <v>50</v>
      </c>
      <c r="G141" s="11" t="s">
        <v>41</v>
      </c>
      <c r="H141" s="11" t="s">
        <v>46</v>
      </c>
    </row>
    <row r="142" spans="1:8" x14ac:dyDescent="0.35">
      <c r="A142" s="2" t="s">
        <v>5</v>
      </c>
      <c r="B142" s="2" t="s">
        <v>18</v>
      </c>
      <c r="C142" s="3">
        <v>424</v>
      </c>
      <c r="D142" s="4">
        <v>41887</v>
      </c>
      <c r="E142" s="11" t="s">
        <v>151</v>
      </c>
      <c r="F142" s="11" t="s">
        <v>62</v>
      </c>
      <c r="G142" s="11" t="s">
        <v>63</v>
      </c>
      <c r="H142" s="11" t="s">
        <v>46</v>
      </c>
    </row>
    <row r="143" spans="1:8" x14ac:dyDescent="0.35">
      <c r="A143" s="2" t="s">
        <v>5</v>
      </c>
      <c r="B143" s="2" t="s">
        <v>18</v>
      </c>
      <c r="C143" s="3">
        <v>8765</v>
      </c>
      <c r="D143" s="4">
        <v>41889</v>
      </c>
      <c r="E143" s="11" t="s">
        <v>152</v>
      </c>
      <c r="F143" s="11" t="s">
        <v>84</v>
      </c>
      <c r="G143" s="11" t="s">
        <v>28</v>
      </c>
      <c r="H143" s="11" t="s">
        <v>34</v>
      </c>
    </row>
    <row r="144" spans="1:8" x14ac:dyDescent="0.35">
      <c r="A144" s="2" t="s">
        <v>5</v>
      </c>
      <c r="B144" s="2" t="s">
        <v>18</v>
      </c>
      <c r="C144" s="3">
        <v>5583</v>
      </c>
      <c r="D144" s="4">
        <v>41890</v>
      </c>
      <c r="E144" s="11" t="s">
        <v>153</v>
      </c>
      <c r="F144" s="11" t="s">
        <v>82</v>
      </c>
      <c r="G144" s="11" t="s">
        <v>45</v>
      </c>
      <c r="H144" s="11" t="s">
        <v>29</v>
      </c>
    </row>
    <row r="145" spans="1:8" x14ac:dyDescent="0.35">
      <c r="A145" s="2" t="s">
        <v>4</v>
      </c>
      <c r="B145" s="2" t="s">
        <v>18</v>
      </c>
      <c r="C145" s="3">
        <v>352</v>
      </c>
      <c r="D145" s="4">
        <v>41891</v>
      </c>
      <c r="E145" s="11" t="s">
        <v>154</v>
      </c>
      <c r="F145" s="11" t="s">
        <v>50</v>
      </c>
      <c r="G145" s="11" t="s">
        <v>41</v>
      </c>
      <c r="H145" s="11" t="s">
        <v>34</v>
      </c>
    </row>
    <row r="146" spans="1:8" x14ac:dyDescent="0.35">
      <c r="A146" s="2" t="s">
        <v>10</v>
      </c>
      <c r="B146" s="2" t="s">
        <v>19</v>
      </c>
      <c r="C146" s="3">
        <v>8489</v>
      </c>
      <c r="D146" s="4">
        <v>41893</v>
      </c>
      <c r="E146" s="11" t="s">
        <v>58</v>
      </c>
      <c r="F146" s="11" t="s">
        <v>57</v>
      </c>
      <c r="G146" s="11" t="s">
        <v>41</v>
      </c>
      <c r="H146" s="11" t="s">
        <v>34</v>
      </c>
    </row>
    <row r="147" spans="1:8" x14ac:dyDescent="0.35">
      <c r="A147" s="2" t="s">
        <v>5</v>
      </c>
      <c r="B147" s="2" t="s">
        <v>18</v>
      </c>
      <c r="C147" s="3">
        <v>7090</v>
      </c>
      <c r="D147" s="4">
        <v>41893</v>
      </c>
      <c r="E147" s="11" t="s">
        <v>155</v>
      </c>
      <c r="F147" s="11" t="s">
        <v>36</v>
      </c>
      <c r="G147" s="11" t="s">
        <v>37</v>
      </c>
      <c r="H147" s="11" t="s">
        <v>29</v>
      </c>
    </row>
    <row r="148" spans="1:8" x14ac:dyDescent="0.35">
      <c r="A148" s="2" t="s">
        <v>5</v>
      </c>
      <c r="B148" s="2" t="s">
        <v>16</v>
      </c>
      <c r="C148" s="3">
        <v>10000</v>
      </c>
      <c r="D148" s="4">
        <v>41897</v>
      </c>
      <c r="E148" s="11" t="s">
        <v>140</v>
      </c>
      <c r="F148" s="11" t="s">
        <v>50</v>
      </c>
      <c r="G148" s="11" t="s">
        <v>41</v>
      </c>
      <c r="H148" s="11" t="s">
        <v>38</v>
      </c>
    </row>
    <row r="149" spans="1:8" x14ac:dyDescent="0.35">
      <c r="A149" s="2" t="s">
        <v>9</v>
      </c>
      <c r="B149" s="2" t="s">
        <v>18</v>
      </c>
      <c r="C149" s="3">
        <v>3861</v>
      </c>
      <c r="D149" s="4">
        <v>41900</v>
      </c>
      <c r="E149" s="11" t="s">
        <v>156</v>
      </c>
      <c r="F149" s="11" t="s">
        <v>157</v>
      </c>
      <c r="G149" s="11" t="s">
        <v>28</v>
      </c>
      <c r="H149" s="11" t="s">
        <v>46</v>
      </c>
    </row>
    <row r="150" spans="1:8" x14ac:dyDescent="0.35">
      <c r="A150" s="2" t="s">
        <v>4</v>
      </c>
      <c r="B150" s="2" t="s">
        <v>18</v>
      </c>
      <c r="C150" s="3">
        <v>7927</v>
      </c>
      <c r="D150" s="4">
        <v>41901</v>
      </c>
      <c r="E150" s="11" t="s">
        <v>158</v>
      </c>
      <c r="F150" s="11" t="s">
        <v>31</v>
      </c>
      <c r="G150" s="11" t="s">
        <v>28</v>
      </c>
      <c r="H150" s="11" t="s">
        <v>29</v>
      </c>
    </row>
    <row r="151" spans="1:8" x14ac:dyDescent="0.35">
      <c r="A151" s="2" t="s">
        <v>5</v>
      </c>
      <c r="B151" s="2" t="s">
        <v>18</v>
      </c>
      <c r="C151" s="3">
        <v>6162</v>
      </c>
      <c r="D151" s="4">
        <v>41902</v>
      </c>
      <c r="E151" s="11" t="s">
        <v>47</v>
      </c>
      <c r="F151" s="11" t="s">
        <v>48</v>
      </c>
      <c r="G151" s="11" t="s">
        <v>37</v>
      </c>
      <c r="H151" s="11" t="s">
        <v>42</v>
      </c>
    </row>
    <row r="152" spans="1:8" x14ac:dyDescent="0.35">
      <c r="A152" s="2" t="s">
        <v>8</v>
      </c>
      <c r="B152" s="2" t="s">
        <v>18</v>
      </c>
      <c r="C152" s="3">
        <v>5523</v>
      </c>
      <c r="D152" s="4">
        <v>41907</v>
      </c>
      <c r="E152" s="11" t="s">
        <v>159</v>
      </c>
      <c r="F152" s="11" t="s">
        <v>57</v>
      </c>
      <c r="G152" s="11" t="s">
        <v>41</v>
      </c>
      <c r="H152" s="11" t="s">
        <v>34</v>
      </c>
    </row>
    <row r="153" spans="1:8" x14ac:dyDescent="0.35">
      <c r="A153" s="2" t="s">
        <v>4</v>
      </c>
      <c r="B153" s="2" t="s">
        <v>18</v>
      </c>
      <c r="C153" s="3">
        <v>5936</v>
      </c>
      <c r="D153" s="4">
        <v>41907</v>
      </c>
      <c r="E153" s="11" t="s">
        <v>154</v>
      </c>
      <c r="F153" s="11" t="s">
        <v>50</v>
      </c>
      <c r="G153" s="11" t="s">
        <v>41</v>
      </c>
      <c r="H153" s="11" t="s">
        <v>29</v>
      </c>
    </row>
    <row r="154" spans="1:8" x14ac:dyDescent="0.35">
      <c r="A154" s="2" t="s">
        <v>7</v>
      </c>
      <c r="B154" s="2" t="s">
        <v>18</v>
      </c>
      <c r="C154" s="3">
        <v>7251</v>
      </c>
      <c r="D154" s="4">
        <v>41908</v>
      </c>
      <c r="E154" s="11" t="s">
        <v>160</v>
      </c>
      <c r="F154" s="11" t="s">
        <v>40</v>
      </c>
      <c r="G154" s="11" t="s">
        <v>41</v>
      </c>
      <c r="H154" s="11" t="s">
        <v>42</v>
      </c>
    </row>
    <row r="155" spans="1:8" x14ac:dyDescent="0.35">
      <c r="A155" s="2" t="s">
        <v>9</v>
      </c>
      <c r="B155" s="2" t="s">
        <v>19</v>
      </c>
      <c r="C155" s="3">
        <v>6187</v>
      </c>
      <c r="D155" s="4">
        <v>41909</v>
      </c>
      <c r="E155" s="11" t="s">
        <v>43</v>
      </c>
      <c r="F155" s="11" t="s">
        <v>44</v>
      </c>
      <c r="G155" s="11" t="s">
        <v>45</v>
      </c>
      <c r="H155" s="11" t="s">
        <v>42</v>
      </c>
    </row>
    <row r="156" spans="1:8" x14ac:dyDescent="0.35">
      <c r="A156" s="2" t="s">
        <v>5</v>
      </c>
      <c r="B156" s="2" t="s">
        <v>18</v>
      </c>
      <c r="C156" s="3">
        <v>3210</v>
      </c>
      <c r="D156" s="4">
        <v>41911</v>
      </c>
      <c r="E156" s="11" t="s">
        <v>54</v>
      </c>
      <c r="F156" s="11" t="s">
        <v>50</v>
      </c>
      <c r="G156" s="11" t="s">
        <v>41</v>
      </c>
      <c r="H156" s="11" t="s">
        <v>29</v>
      </c>
    </row>
    <row r="157" spans="1:8" x14ac:dyDescent="0.35">
      <c r="A157" s="2" t="s">
        <v>7</v>
      </c>
      <c r="B157" s="2" t="s">
        <v>18</v>
      </c>
      <c r="C157" s="3">
        <v>682</v>
      </c>
      <c r="D157" s="4">
        <v>41911</v>
      </c>
      <c r="E157" s="11" t="s">
        <v>161</v>
      </c>
      <c r="F157" s="11" t="s">
        <v>72</v>
      </c>
      <c r="G157" s="11" t="s">
        <v>41</v>
      </c>
      <c r="H157" s="11" t="s">
        <v>29</v>
      </c>
    </row>
    <row r="158" spans="1:8" x14ac:dyDescent="0.35">
      <c r="A158" s="2" t="s">
        <v>5</v>
      </c>
      <c r="B158" s="2" t="s">
        <v>18</v>
      </c>
      <c r="C158" s="3">
        <v>793</v>
      </c>
      <c r="D158" s="4">
        <v>41915</v>
      </c>
      <c r="E158" s="11" t="s">
        <v>54</v>
      </c>
      <c r="F158" s="11" t="s">
        <v>50</v>
      </c>
      <c r="G158" s="11" t="s">
        <v>41</v>
      </c>
      <c r="H158" s="11" t="s">
        <v>38</v>
      </c>
    </row>
    <row r="159" spans="1:8" x14ac:dyDescent="0.35">
      <c r="A159" s="2" t="s">
        <v>7</v>
      </c>
      <c r="B159" s="2" t="s">
        <v>18</v>
      </c>
      <c r="C159" s="3">
        <v>5346</v>
      </c>
      <c r="D159" s="4">
        <v>41916</v>
      </c>
      <c r="E159" s="11" t="s">
        <v>60</v>
      </c>
      <c r="F159" s="11" t="s">
        <v>36</v>
      </c>
      <c r="G159" s="11" t="s">
        <v>37</v>
      </c>
      <c r="H159" s="11" t="s">
        <v>46</v>
      </c>
    </row>
    <row r="160" spans="1:8" x14ac:dyDescent="0.35">
      <c r="A160" s="2" t="s">
        <v>7</v>
      </c>
      <c r="B160" s="2" t="s">
        <v>18</v>
      </c>
      <c r="C160" s="3">
        <v>4603</v>
      </c>
      <c r="D160" s="4">
        <v>41922</v>
      </c>
      <c r="E160" s="11" t="s">
        <v>74</v>
      </c>
      <c r="F160" s="11" t="s">
        <v>36</v>
      </c>
      <c r="G160" s="11" t="s">
        <v>37</v>
      </c>
      <c r="H160" s="11" t="s">
        <v>46</v>
      </c>
    </row>
    <row r="161" spans="1:8" x14ac:dyDescent="0.35">
      <c r="A161" s="2" t="s">
        <v>10</v>
      </c>
      <c r="B161" s="2" t="s">
        <v>18</v>
      </c>
      <c r="C161" s="3">
        <v>8160</v>
      </c>
      <c r="D161" s="4">
        <v>41928</v>
      </c>
      <c r="E161" s="11" t="s">
        <v>88</v>
      </c>
      <c r="F161" s="11" t="s">
        <v>48</v>
      </c>
      <c r="G161" s="11" t="s">
        <v>37</v>
      </c>
      <c r="H161" s="11" t="s">
        <v>46</v>
      </c>
    </row>
    <row r="162" spans="1:8" x14ac:dyDescent="0.35">
      <c r="A162" s="2" t="s">
        <v>10</v>
      </c>
      <c r="B162" s="2" t="s">
        <v>18</v>
      </c>
      <c r="C162" s="3">
        <v>7171</v>
      </c>
      <c r="D162" s="4">
        <v>41935</v>
      </c>
      <c r="E162" s="11" t="s">
        <v>162</v>
      </c>
      <c r="F162" s="11" t="s">
        <v>48</v>
      </c>
      <c r="G162" s="11" t="s">
        <v>37</v>
      </c>
      <c r="H162" s="11" t="s">
        <v>34</v>
      </c>
    </row>
    <row r="163" spans="1:8" x14ac:dyDescent="0.35">
      <c r="A163" s="2" t="s">
        <v>5</v>
      </c>
      <c r="B163" s="2" t="s">
        <v>16</v>
      </c>
      <c r="C163" s="3">
        <v>7273</v>
      </c>
      <c r="D163" s="4">
        <v>41937</v>
      </c>
      <c r="E163" s="11" t="s">
        <v>30</v>
      </c>
      <c r="F163" s="11" t="s">
        <v>31</v>
      </c>
      <c r="G163" s="11" t="s">
        <v>28</v>
      </c>
      <c r="H163" s="11" t="s">
        <v>29</v>
      </c>
    </row>
    <row r="164" spans="1:8" x14ac:dyDescent="0.35">
      <c r="A164" s="2" t="s">
        <v>5</v>
      </c>
      <c r="B164" s="2" t="s">
        <v>18</v>
      </c>
      <c r="C164" s="3">
        <v>2402</v>
      </c>
      <c r="D164" s="4">
        <v>41938</v>
      </c>
      <c r="E164" s="11" t="s">
        <v>43</v>
      </c>
      <c r="F164" s="11" t="s">
        <v>44</v>
      </c>
      <c r="G164" s="11" t="s">
        <v>45</v>
      </c>
      <c r="H164" s="11" t="s">
        <v>34</v>
      </c>
    </row>
    <row r="165" spans="1:8" x14ac:dyDescent="0.35">
      <c r="A165" s="2" t="s">
        <v>5</v>
      </c>
      <c r="B165" s="2" t="s">
        <v>18</v>
      </c>
      <c r="C165" s="3">
        <v>1197</v>
      </c>
      <c r="D165" s="4">
        <v>41938</v>
      </c>
      <c r="E165" s="11" t="s">
        <v>54</v>
      </c>
      <c r="F165" s="11" t="s">
        <v>50</v>
      </c>
      <c r="G165" s="11" t="s">
        <v>41</v>
      </c>
      <c r="H165" s="11" t="s">
        <v>34</v>
      </c>
    </row>
    <row r="166" spans="1:8" x14ac:dyDescent="0.35">
      <c r="A166" s="2" t="s">
        <v>6</v>
      </c>
      <c r="B166" s="2" t="s">
        <v>19</v>
      </c>
      <c r="C166" s="3">
        <v>5015</v>
      </c>
      <c r="D166" s="4">
        <v>41938</v>
      </c>
      <c r="E166" s="11" t="s">
        <v>35</v>
      </c>
      <c r="F166" s="11" t="s">
        <v>36</v>
      </c>
      <c r="G166" s="11" t="s">
        <v>37</v>
      </c>
      <c r="H166" s="11" t="s">
        <v>29</v>
      </c>
    </row>
    <row r="167" spans="1:8" x14ac:dyDescent="0.35">
      <c r="A167" s="2" t="s">
        <v>9</v>
      </c>
      <c r="B167" s="2" t="s">
        <v>19</v>
      </c>
      <c r="C167" s="3">
        <v>5818</v>
      </c>
      <c r="D167" s="4">
        <v>41945</v>
      </c>
      <c r="E167" s="11" t="s">
        <v>163</v>
      </c>
      <c r="F167" s="11" t="s">
        <v>69</v>
      </c>
      <c r="G167" s="11" t="s">
        <v>41</v>
      </c>
      <c r="H167" s="11" t="s">
        <v>38</v>
      </c>
    </row>
    <row r="168" spans="1:8" x14ac:dyDescent="0.35">
      <c r="A168" s="2" t="s">
        <v>5</v>
      </c>
      <c r="B168" s="2" t="s">
        <v>18</v>
      </c>
      <c r="C168" s="3">
        <v>4399</v>
      </c>
      <c r="D168" s="4">
        <v>41946</v>
      </c>
      <c r="E168" s="11" t="s">
        <v>73</v>
      </c>
      <c r="F168" s="11" t="s">
        <v>62</v>
      </c>
      <c r="G168" s="11" t="s">
        <v>63</v>
      </c>
      <c r="H168" s="11" t="s">
        <v>46</v>
      </c>
    </row>
    <row r="169" spans="1:8" x14ac:dyDescent="0.35">
      <c r="A169" s="2" t="s">
        <v>7</v>
      </c>
      <c r="B169" s="2" t="s">
        <v>18</v>
      </c>
      <c r="C169" s="3">
        <v>3011</v>
      </c>
      <c r="D169" s="4">
        <v>41946</v>
      </c>
      <c r="E169" s="11" t="s">
        <v>93</v>
      </c>
      <c r="F169" s="11" t="s">
        <v>78</v>
      </c>
      <c r="G169" s="11" t="s">
        <v>45</v>
      </c>
      <c r="H169" s="11" t="s">
        <v>29</v>
      </c>
    </row>
    <row r="170" spans="1:8" x14ac:dyDescent="0.35">
      <c r="A170" s="2" t="s">
        <v>10</v>
      </c>
      <c r="B170" s="2" t="s">
        <v>18</v>
      </c>
      <c r="C170" s="3">
        <v>4715</v>
      </c>
      <c r="D170" s="4">
        <v>41952</v>
      </c>
      <c r="E170" s="11" t="s">
        <v>164</v>
      </c>
      <c r="F170" s="11" t="s">
        <v>57</v>
      </c>
      <c r="G170" s="11" t="s">
        <v>41</v>
      </c>
      <c r="H170" s="11" t="s">
        <v>42</v>
      </c>
    </row>
    <row r="171" spans="1:8" x14ac:dyDescent="0.35">
      <c r="A171" s="2" t="s">
        <v>10</v>
      </c>
      <c r="B171" s="2" t="s">
        <v>18</v>
      </c>
      <c r="C171" s="3">
        <v>5321</v>
      </c>
      <c r="D171" s="4">
        <v>41955</v>
      </c>
      <c r="E171" s="11" t="s">
        <v>165</v>
      </c>
      <c r="F171" s="11" t="s">
        <v>50</v>
      </c>
      <c r="G171" s="11" t="s">
        <v>41</v>
      </c>
      <c r="H171" s="11" t="s">
        <v>34</v>
      </c>
    </row>
    <row r="172" spans="1:8" x14ac:dyDescent="0.35">
      <c r="A172" s="2" t="s">
        <v>5</v>
      </c>
      <c r="B172" s="2" t="s">
        <v>18</v>
      </c>
      <c r="C172" s="3">
        <v>8894</v>
      </c>
      <c r="D172" s="4">
        <v>41958</v>
      </c>
      <c r="E172" s="11" t="s">
        <v>166</v>
      </c>
      <c r="F172" s="11" t="s">
        <v>31</v>
      </c>
      <c r="G172" s="11" t="s">
        <v>28</v>
      </c>
      <c r="H172" s="11" t="s">
        <v>29</v>
      </c>
    </row>
    <row r="173" spans="1:8" x14ac:dyDescent="0.35">
      <c r="A173" s="2" t="s">
        <v>7</v>
      </c>
      <c r="B173" s="2" t="s">
        <v>18</v>
      </c>
      <c r="C173" s="3">
        <v>4846</v>
      </c>
      <c r="D173" s="4">
        <v>41968</v>
      </c>
      <c r="E173" s="11" t="s">
        <v>60</v>
      </c>
      <c r="F173" s="11" t="s">
        <v>36</v>
      </c>
      <c r="G173" s="11" t="s">
        <v>37</v>
      </c>
      <c r="H173" s="11" t="s">
        <v>42</v>
      </c>
    </row>
    <row r="174" spans="1:8" x14ac:dyDescent="0.35">
      <c r="A174" s="2" t="s">
        <v>4</v>
      </c>
      <c r="B174" s="2" t="s">
        <v>18</v>
      </c>
      <c r="C174" s="3">
        <v>284</v>
      </c>
      <c r="D174" s="4">
        <v>41968</v>
      </c>
      <c r="E174" s="11" t="s">
        <v>167</v>
      </c>
      <c r="F174" s="11" t="s">
        <v>27</v>
      </c>
      <c r="G174" s="11" t="s">
        <v>28</v>
      </c>
      <c r="H174" s="11" t="s">
        <v>42</v>
      </c>
    </row>
    <row r="175" spans="1:8" x14ac:dyDescent="0.35">
      <c r="A175" s="2" t="s">
        <v>9</v>
      </c>
      <c r="B175" s="2" t="s">
        <v>18</v>
      </c>
      <c r="C175" s="3">
        <v>8283</v>
      </c>
      <c r="D175" s="4">
        <v>41969</v>
      </c>
      <c r="E175" s="11" t="s">
        <v>168</v>
      </c>
      <c r="F175" s="11" t="s">
        <v>44</v>
      </c>
      <c r="G175" s="11" t="s">
        <v>45</v>
      </c>
      <c r="H175" s="11" t="s">
        <v>29</v>
      </c>
    </row>
    <row r="176" spans="1:8" x14ac:dyDescent="0.35">
      <c r="A176" s="2" t="s">
        <v>9</v>
      </c>
      <c r="B176" s="2" t="s">
        <v>18</v>
      </c>
      <c r="C176" s="3">
        <v>9990</v>
      </c>
      <c r="D176" s="4">
        <v>41971</v>
      </c>
      <c r="E176" s="11" t="s">
        <v>144</v>
      </c>
      <c r="F176" s="11" t="s">
        <v>120</v>
      </c>
      <c r="G176" s="11" t="s">
        <v>41</v>
      </c>
      <c r="H176" s="11" t="s">
        <v>29</v>
      </c>
    </row>
    <row r="177" spans="1:8" x14ac:dyDescent="0.35">
      <c r="A177" s="2" t="s">
        <v>5</v>
      </c>
      <c r="B177" s="2" t="s">
        <v>18</v>
      </c>
      <c r="C177" s="3">
        <v>9014</v>
      </c>
      <c r="D177" s="4">
        <v>41971</v>
      </c>
      <c r="E177" s="11" t="s">
        <v>56</v>
      </c>
      <c r="F177" s="11" t="s">
        <v>57</v>
      </c>
      <c r="G177" s="11" t="s">
        <v>41</v>
      </c>
      <c r="H177" s="11" t="s">
        <v>38</v>
      </c>
    </row>
    <row r="178" spans="1:8" x14ac:dyDescent="0.35">
      <c r="A178" s="2" t="s">
        <v>10</v>
      </c>
      <c r="B178" s="2" t="s">
        <v>18</v>
      </c>
      <c r="C178" s="3">
        <v>1942</v>
      </c>
      <c r="D178" s="4">
        <v>41972</v>
      </c>
      <c r="E178" s="11" t="s">
        <v>169</v>
      </c>
      <c r="F178" s="11" t="s">
        <v>44</v>
      </c>
      <c r="G178" s="11" t="s">
        <v>45</v>
      </c>
      <c r="H178" s="11" t="s">
        <v>46</v>
      </c>
    </row>
    <row r="179" spans="1:8" x14ac:dyDescent="0.35">
      <c r="A179" s="2" t="s">
        <v>5</v>
      </c>
      <c r="B179" s="2" t="s">
        <v>18</v>
      </c>
      <c r="C179" s="3">
        <v>7223</v>
      </c>
      <c r="D179" s="4">
        <v>41973</v>
      </c>
      <c r="E179" s="11" t="s">
        <v>170</v>
      </c>
      <c r="F179" s="11" t="s">
        <v>36</v>
      </c>
      <c r="G179" s="11" t="s">
        <v>37</v>
      </c>
      <c r="H179" s="11" t="s">
        <v>46</v>
      </c>
    </row>
    <row r="180" spans="1:8" x14ac:dyDescent="0.35">
      <c r="A180" s="2" t="s">
        <v>7</v>
      </c>
      <c r="B180" s="2" t="s">
        <v>18</v>
      </c>
      <c r="C180" s="3">
        <v>4673</v>
      </c>
      <c r="D180" s="4">
        <v>41975</v>
      </c>
      <c r="E180" s="11" t="s">
        <v>169</v>
      </c>
      <c r="F180" s="11" t="s">
        <v>44</v>
      </c>
      <c r="G180" s="11" t="s">
        <v>45</v>
      </c>
      <c r="H180" s="11" t="s">
        <v>46</v>
      </c>
    </row>
    <row r="181" spans="1:8" x14ac:dyDescent="0.35">
      <c r="A181" s="2" t="s">
        <v>7</v>
      </c>
      <c r="B181" s="2" t="s">
        <v>18</v>
      </c>
      <c r="C181" s="3">
        <v>9104</v>
      </c>
      <c r="D181" s="4">
        <v>41977</v>
      </c>
      <c r="E181" s="11" t="s">
        <v>56</v>
      </c>
      <c r="F181" s="11" t="s">
        <v>57</v>
      </c>
      <c r="G181" s="11" t="s">
        <v>41</v>
      </c>
      <c r="H181" s="11" t="s">
        <v>34</v>
      </c>
    </row>
    <row r="182" spans="1:8" x14ac:dyDescent="0.35">
      <c r="A182" s="2" t="s">
        <v>10</v>
      </c>
      <c r="B182" s="2" t="s">
        <v>18</v>
      </c>
      <c r="C182" s="3">
        <v>6078</v>
      </c>
      <c r="D182" s="4">
        <v>41978</v>
      </c>
      <c r="E182" s="11" t="s">
        <v>164</v>
      </c>
      <c r="F182" s="11" t="s">
        <v>57</v>
      </c>
      <c r="G182" s="11" t="s">
        <v>41</v>
      </c>
      <c r="H182" s="11" t="s">
        <v>29</v>
      </c>
    </row>
    <row r="183" spans="1:8" x14ac:dyDescent="0.35">
      <c r="A183" s="2" t="s">
        <v>6</v>
      </c>
      <c r="B183" s="2" t="s">
        <v>18</v>
      </c>
      <c r="C183" s="3">
        <v>3278</v>
      </c>
      <c r="D183" s="4">
        <v>41979</v>
      </c>
      <c r="E183" s="11" t="s">
        <v>171</v>
      </c>
      <c r="F183" s="11" t="s">
        <v>50</v>
      </c>
      <c r="G183" s="11" t="s">
        <v>41</v>
      </c>
      <c r="H183" s="11" t="s">
        <v>34</v>
      </c>
    </row>
    <row r="184" spans="1:8" x14ac:dyDescent="0.35">
      <c r="A184" s="2" t="s">
        <v>5</v>
      </c>
      <c r="B184" s="2" t="s">
        <v>19</v>
      </c>
      <c r="C184" s="3">
        <v>136</v>
      </c>
      <c r="D184" s="4">
        <v>41985</v>
      </c>
      <c r="E184" s="11" t="s">
        <v>172</v>
      </c>
      <c r="F184" s="11" t="s">
        <v>48</v>
      </c>
      <c r="G184" s="11" t="s">
        <v>37</v>
      </c>
      <c r="H184" s="11" t="s">
        <v>34</v>
      </c>
    </row>
    <row r="185" spans="1:8" x14ac:dyDescent="0.35">
      <c r="A185" s="2" t="s">
        <v>5</v>
      </c>
      <c r="B185" s="2" t="s">
        <v>18</v>
      </c>
      <c r="C185" s="3">
        <v>8377</v>
      </c>
      <c r="D185" s="4">
        <v>41985</v>
      </c>
      <c r="E185" s="11" t="s">
        <v>88</v>
      </c>
      <c r="F185" s="11" t="s">
        <v>48</v>
      </c>
      <c r="G185" s="11" t="s">
        <v>37</v>
      </c>
      <c r="H185" s="11" t="s">
        <v>29</v>
      </c>
    </row>
    <row r="186" spans="1:8" x14ac:dyDescent="0.35">
      <c r="A186" s="2" t="s">
        <v>5</v>
      </c>
      <c r="B186" s="2" t="s">
        <v>18</v>
      </c>
      <c r="C186" s="3">
        <v>2382</v>
      </c>
      <c r="D186" s="4">
        <v>41985</v>
      </c>
      <c r="E186" s="11" t="s">
        <v>173</v>
      </c>
      <c r="F186" s="11" t="s">
        <v>36</v>
      </c>
      <c r="G186" s="11" t="s">
        <v>37</v>
      </c>
      <c r="H186" s="11" t="s">
        <v>38</v>
      </c>
    </row>
    <row r="187" spans="1:8" x14ac:dyDescent="0.35">
      <c r="A187" s="2" t="s">
        <v>5</v>
      </c>
      <c r="B187" s="2" t="s">
        <v>18</v>
      </c>
      <c r="C187" s="3">
        <v>8702</v>
      </c>
      <c r="D187" s="4">
        <v>41988</v>
      </c>
      <c r="E187" s="11" t="s">
        <v>174</v>
      </c>
      <c r="F187" s="11" t="s">
        <v>99</v>
      </c>
      <c r="G187" s="11" t="s">
        <v>28</v>
      </c>
      <c r="H187" s="11" t="s">
        <v>46</v>
      </c>
    </row>
    <row r="188" spans="1:8" x14ac:dyDescent="0.35">
      <c r="A188" s="2" t="s">
        <v>5</v>
      </c>
      <c r="B188" s="2" t="s">
        <v>18</v>
      </c>
      <c r="C188" s="3">
        <v>5021</v>
      </c>
      <c r="D188" s="4">
        <v>41989</v>
      </c>
      <c r="E188" s="11" t="s">
        <v>175</v>
      </c>
      <c r="F188" s="11" t="s">
        <v>48</v>
      </c>
      <c r="G188" s="11" t="s">
        <v>37</v>
      </c>
      <c r="H188" s="11" t="s">
        <v>29</v>
      </c>
    </row>
    <row r="189" spans="1:8" x14ac:dyDescent="0.35">
      <c r="A189" s="2" t="s">
        <v>10</v>
      </c>
      <c r="B189" s="2" t="s">
        <v>18</v>
      </c>
      <c r="C189" s="3">
        <v>6000</v>
      </c>
      <c r="D189" s="4">
        <v>41989</v>
      </c>
      <c r="E189" s="11" t="s">
        <v>88</v>
      </c>
      <c r="F189" s="11" t="s">
        <v>48</v>
      </c>
      <c r="G189" s="11" t="s">
        <v>37</v>
      </c>
      <c r="H189" s="11" t="s">
        <v>42</v>
      </c>
    </row>
    <row r="190" spans="1:8" x14ac:dyDescent="0.35">
      <c r="A190" s="2" t="s">
        <v>5</v>
      </c>
      <c r="B190" s="2" t="s">
        <v>18</v>
      </c>
      <c r="C190" s="3">
        <v>9000</v>
      </c>
      <c r="D190" s="4">
        <v>41991</v>
      </c>
      <c r="E190" s="11" t="s">
        <v>176</v>
      </c>
      <c r="F190" s="11" t="s">
        <v>31</v>
      </c>
      <c r="G190" s="11" t="s">
        <v>28</v>
      </c>
      <c r="H190" s="11" t="s">
        <v>34</v>
      </c>
    </row>
    <row r="191" spans="1:8" x14ac:dyDescent="0.35">
      <c r="A191" s="2" t="s">
        <v>6</v>
      </c>
      <c r="B191" s="2" t="s">
        <v>18</v>
      </c>
      <c r="C191" s="3">
        <v>1541</v>
      </c>
      <c r="D191" s="4">
        <v>41992</v>
      </c>
      <c r="E191" s="11" t="s">
        <v>97</v>
      </c>
      <c r="F191" s="11" t="s">
        <v>40</v>
      </c>
      <c r="G191" s="11" t="s">
        <v>41</v>
      </c>
      <c r="H191" s="11" t="s">
        <v>29</v>
      </c>
    </row>
    <row r="192" spans="1:8" x14ac:dyDescent="0.35">
      <c r="A192" s="2" t="s">
        <v>9</v>
      </c>
      <c r="B192" s="2" t="s">
        <v>18</v>
      </c>
      <c r="C192" s="3">
        <v>2782</v>
      </c>
      <c r="D192" s="4">
        <v>41993</v>
      </c>
      <c r="E192" s="11" t="s">
        <v>177</v>
      </c>
      <c r="F192" s="11" t="s">
        <v>57</v>
      </c>
      <c r="G192" s="11" t="s">
        <v>41</v>
      </c>
      <c r="H192" s="11" t="s">
        <v>42</v>
      </c>
    </row>
    <row r="193" spans="1:8" x14ac:dyDescent="0.35">
      <c r="A193" s="2" t="s">
        <v>10</v>
      </c>
      <c r="B193" s="2" t="s">
        <v>18</v>
      </c>
      <c r="C193" s="3">
        <v>2455</v>
      </c>
      <c r="D193" s="4">
        <v>41993</v>
      </c>
      <c r="E193" s="11" t="s">
        <v>158</v>
      </c>
      <c r="F193" s="11" t="s">
        <v>31</v>
      </c>
      <c r="G193" s="11" t="s">
        <v>28</v>
      </c>
      <c r="H193" s="11" t="s">
        <v>42</v>
      </c>
    </row>
    <row r="194" spans="1:8" x14ac:dyDescent="0.35">
      <c r="A194" s="2" t="s">
        <v>10</v>
      </c>
      <c r="B194" s="2" t="s">
        <v>18</v>
      </c>
      <c r="C194" s="3">
        <v>8752</v>
      </c>
      <c r="D194" s="4">
        <v>41995</v>
      </c>
      <c r="E194" s="11" t="s">
        <v>60</v>
      </c>
      <c r="F194" s="11" t="s">
        <v>36</v>
      </c>
      <c r="G194" s="11" t="s">
        <v>37</v>
      </c>
      <c r="H194" s="11" t="s">
        <v>29</v>
      </c>
    </row>
    <row r="195" spans="1:8" x14ac:dyDescent="0.35">
      <c r="A195" s="2" t="s">
        <v>7</v>
      </c>
      <c r="B195" s="2" t="s">
        <v>16</v>
      </c>
      <c r="C195" s="3">
        <v>9127</v>
      </c>
      <c r="D195" s="4">
        <v>41998</v>
      </c>
      <c r="E195" s="11" t="s">
        <v>178</v>
      </c>
      <c r="F195" s="11" t="s">
        <v>36</v>
      </c>
      <c r="G195" s="11" t="s">
        <v>37</v>
      </c>
      <c r="H195" s="11" t="s">
        <v>29</v>
      </c>
    </row>
    <row r="196" spans="1:8" x14ac:dyDescent="0.35">
      <c r="A196" s="2" t="s">
        <v>10</v>
      </c>
      <c r="B196" s="2" t="s">
        <v>18</v>
      </c>
      <c r="C196" s="3">
        <v>1777</v>
      </c>
      <c r="D196" s="4">
        <v>42001</v>
      </c>
      <c r="E196" s="11" t="s">
        <v>123</v>
      </c>
      <c r="F196" s="11" t="s">
        <v>84</v>
      </c>
      <c r="G196" s="11" t="s">
        <v>28</v>
      </c>
      <c r="H196" s="11" t="s">
        <v>38</v>
      </c>
    </row>
    <row r="197" spans="1:8" x14ac:dyDescent="0.35">
      <c r="A197" s="2" t="s">
        <v>6</v>
      </c>
      <c r="B197" s="2" t="s">
        <v>18</v>
      </c>
      <c r="C197" s="3">
        <v>680</v>
      </c>
      <c r="D197" s="4">
        <v>42001</v>
      </c>
      <c r="E197" s="11" t="s">
        <v>169</v>
      </c>
      <c r="F197" s="11" t="s">
        <v>44</v>
      </c>
      <c r="G197" s="11" t="s">
        <v>45</v>
      </c>
      <c r="H197" s="11" t="s">
        <v>46</v>
      </c>
    </row>
    <row r="198" spans="1:8" x14ac:dyDescent="0.35">
      <c r="A198" s="2" t="s">
        <v>9</v>
      </c>
      <c r="B198" s="2" t="s">
        <v>18</v>
      </c>
      <c r="C198" s="3">
        <v>958</v>
      </c>
      <c r="D198" s="4">
        <v>42002</v>
      </c>
      <c r="E198" s="11" t="s">
        <v>179</v>
      </c>
      <c r="F198" s="11" t="s">
        <v>44</v>
      </c>
      <c r="G198" s="11" t="s">
        <v>45</v>
      </c>
      <c r="H198" s="11" t="s">
        <v>46</v>
      </c>
    </row>
    <row r="199" spans="1:8" x14ac:dyDescent="0.35">
      <c r="A199" s="2" t="s">
        <v>9</v>
      </c>
      <c r="B199" s="2" t="s">
        <v>18</v>
      </c>
      <c r="C199" s="3">
        <v>958</v>
      </c>
      <c r="D199" s="4">
        <v>42003</v>
      </c>
      <c r="E199" s="11" t="s">
        <v>180</v>
      </c>
      <c r="F199" s="11" t="s">
        <v>181</v>
      </c>
      <c r="G199" s="11" t="s">
        <v>63</v>
      </c>
      <c r="H199" s="11" t="s">
        <v>46</v>
      </c>
    </row>
    <row r="200" spans="1:8" x14ac:dyDescent="0.35">
      <c r="A200" s="2" t="s">
        <v>7</v>
      </c>
      <c r="B200" s="2" t="s">
        <v>19</v>
      </c>
      <c r="C200" s="3">
        <v>2613</v>
      </c>
      <c r="D200" s="4">
        <v>42002</v>
      </c>
      <c r="E200" s="11" t="s">
        <v>182</v>
      </c>
      <c r="F200" s="11" t="s">
        <v>44</v>
      </c>
      <c r="G200" s="11" t="s">
        <v>45</v>
      </c>
      <c r="H200" s="11" t="s">
        <v>34</v>
      </c>
    </row>
    <row r="201" spans="1:8" x14ac:dyDescent="0.35">
      <c r="A201" s="2" t="s">
        <v>7</v>
      </c>
      <c r="B201" s="2" t="s">
        <v>18</v>
      </c>
      <c r="C201" s="3">
        <v>339</v>
      </c>
      <c r="D201" s="4">
        <v>42003</v>
      </c>
      <c r="E201" s="11" t="s">
        <v>121</v>
      </c>
      <c r="F201" s="11" t="s">
        <v>122</v>
      </c>
      <c r="G201" s="11" t="s">
        <v>37</v>
      </c>
      <c r="H201" s="11" t="s">
        <v>29</v>
      </c>
    </row>
    <row r="202" spans="1:8" x14ac:dyDescent="0.35">
      <c r="A202" s="9" t="s">
        <v>6</v>
      </c>
      <c r="B202" s="2" t="s">
        <v>18</v>
      </c>
      <c r="C202" s="10">
        <v>1000</v>
      </c>
      <c r="D202" s="4">
        <v>42003</v>
      </c>
      <c r="E202" s="11" t="s">
        <v>147</v>
      </c>
      <c r="F202" s="11" t="s">
        <v>148</v>
      </c>
      <c r="G202" s="11" t="s">
        <v>63</v>
      </c>
      <c r="H202" s="11" t="s">
        <v>38</v>
      </c>
    </row>
    <row r="203" spans="1:8" x14ac:dyDescent="0.35">
      <c r="A203" s="9" t="s">
        <v>9</v>
      </c>
      <c r="B203" s="2" t="s">
        <v>19</v>
      </c>
      <c r="C203" s="10">
        <v>1000</v>
      </c>
      <c r="D203" s="4">
        <v>42003</v>
      </c>
      <c r="E203" s="11" t="s">
        <v>121</v>
      </c>
      <c r="F203" s="11" t="s">
        <v>66</v>
      </c>
      <c r="G203" s="11" t="s">
        <v>28</v>
      </c>
      <c r="H203" s="11" t="s">
        <v>42</v>
      </c>
    </row>
    <row r="204" spans="1:8" x14ac:dyDescent="0.35">
      <c r="A204" s="2" t="s">
        <v>7</v>
      </c>
      <c r="B204" s="2" t="s">
        <v>18</v>
      </c>
      <c r="C204" s="3">
        <v>3011</v>
      </c>
      <c r="D204" s="4">
        <v>41946</v>
      </c>
      <c r="E204" s="11" t="s">
        <v>93</v>
      </c>
      <c r="F204" s="11" t="s">
        <v>78</v>
      </c>
      <c r="G204" s="11" t="s">
        <v>45</v>
      </c>
      <c r="H204" s="11" t="s">
        <v>29</v>
      </c>
    </row>
    <row r="205" spans="1:8" x14ac:dyDescent="0.35">
      <c r="A205" s="2" t="s">
        <v>10</v>
      </c>
      <c r="B205" s="2" t="s">
        <v>18</v>
      </c>
      <c r="C205" s="3">
        <v>4715</v>
      </c>
      <c r="D205" s="4">
        <v>41952</v>
      </c>
      <c r="E205" s="11" t="s">
        <v>164</v>
      </c>
      <c r="F205" s="11" t="s">
        <v>57</v>
      </c>
      <c r="G205" s="11" t="s">
        <v>41</v>
      </c>
      <c r="H205" s="11" t="s">
        <v>42</v>
      </c>
    </row>
    <row r="206" spans="1:8" x14ac:dyDescent="0.35">
      <c r="A206" s="2" t="s">
        <v>10</v>
      </c>
      <c r="B206" s="2" t="s">
        <v>18</v>
      </c>
      <c r="C206" s="3">
        <v>5321</v>
      </c>
      <c r="D206" s="4">
        <v>41955</v>
      </c>
      <c r="E206" s="11" t="s">
        <v>165</v>
      </c>
      <c r="F206" s="11" t="s">
        <v>50</v>
      </c>
      <c r="G206" s="11" t="s">
        <v>41</v>
      </c>
      <c r="H206" s="11" t="s">
        <v>34</v>
      </c>
    </row>
    <row r="207" spans="1:8" x14ac:dyDescent="0.35">
      <c r="A207" s="2" t="s">
        <v>5</v>
      </c>
      <c r="B207" s="2" t="s">
        <v>18</v>
      </c>
      <c r="C207" s="3">
        <v>8894</v>
      </c>
      <c r="D207" s="4">
        <v>41958</v>
      </c>
      <c r="E207" s="11" t="s">
        <v>166</v>
      </c>
      <c r="F207" s="11" t="s">
        <v>31</v>
      </c>
      <c r="G207" s="11" t="s">
        <v>28</v>
      </c>
      <c r="H207" s="11" t="s">
        <v>29</v>
      </c>
    </row>
    <row r="208" spans="1:8" x14ac:dyDescent="0.35">
      <c r="A208" s="2" t="s">
        <v>7</v>
      </c>
      <c r="B208" s="2" t="s">
        <v>18</v>
      </c>
      <c r="C208" s="3">
        <v>4846</v>
      </c>
      <c r="D208" s="4">
        <v>41968</v>
      </c>
      <c r="E208" s="11" t="s">
        <v>60</v>
      </c>
      <c r="F208" s="11" t="s">
        <v>36</v>
      </c>
      <c r="G208" s="11" t="s">
        <v>37</v>
      </c>
      <c r="H208" s="11" t="s">
        <v>42</v>
      </c>
    </row>
    <row r="209" spans="1:8" x14ac:dyDescent="0.35">
      <c r="A209" s="2" t="s">
        <v>4</v>
      </c>
      <c r="B209" s="2" t="s">
        <v>18</v>
      </c>
      <c r="C209" s="3">
        <v>284</v>
      </c>
      <c r="D209" s="4">
        <v>41968</v>
      </c>
      <c r="E209" s="11" t="s">
        <v>167</v>
      </c>
      <c r="F209" s="11" t="s">
        <v>27</v>
      </c>
      <c r="G209" s="11" t="s">
        <v>28</v>
      </c>
      <c r="H209" s="11" t="s">
        <v>42</v>
      </c>
    </row>
    <row r="210" spans="1:8" x14ac:dyDescent="0.35">
      <c r="A210" s="2" t="s">
        <v>9</v>
      </c>
      <c r="B210" s="2" t="s">
        <v>18</v>
      </c>
      <c r="C210" s="3">
        <v>8283</v>
      </c>
      <c r="D210" s="4">
        <v>41969</v>
      </c>
      <c r="E210" s="11" t="s">
        <v>168</v>
      </c>
      <c r="F210" s="11" t="s">
        <v>44</v>
      </c>
      <c r="G210" s="11" t="s">
        <v>45</v>
      </c>
      <c r="H210" s="11" t="s">
        <v>29</v>
      </c>
    </row>
    <row r="211" spans="1:8" x14ac:dyDescent="0.35">
      <c r="A211" s="2" t="s">
        <v>9</v>
      </c>
      <c r="B211" s="2" t="s">
        <v>18</v>
      </c>
      <c r="C211" s="3">
        <v>9990</v>
      </c>
      <c r="D211" s="4">
        <v>41971</v>
      </c>
      <c r="E211" s="11" t="s">
        <v>144</v>
      </c>
      <c r="F211" s="11" t="s">
        <v>120</v>
      </c>
      <c r="G211" s="11" t="s">
        <v>41</v>
      </c>
      <c r="H211" s="11" t="s">
        <v>29</v>
      </c>
    </row>
    <row r="212" spans="1:8" x14ac:dyDescent="0.35">
      <c r="A212" s="2" t="s">
        <v>5</v>
      </c>
      <c r="B212" s="2" t="s">
        <v>18</v>
      </c>
      <c r="C212" s="3">
        <v>9014</v>
      </c>
      <c r="D212" s="4">
        <v>41971</v>
      </c>
      <c r="E212" s="11" t="s">
        <v>56</v>
      </c>
      <c r="F212" s="11" t="s">
        <v>57</v>
      </c>
      <c r="G212" s="11" t="s">
        <v>41</v>
      </c>
      <c r="H212" s="11" t="s">
        <v>38</v>
      </c>
    </row>
    <row r="213" spans="1:8" x14ac:dyDescent="0.35">
      <c r="A213" s="2" t="s">
        <v>10</v>
      </c>
      <c r="B213" s="2" t="s">
        <v>18</v>
      </c>
      <c r="C213" s="3">
        <v>1942</v>
      </c>
      <c r="D213" s="4">
        <v>41972</v>
      </c>
      <c r="E213" s="11" t="s">
        <v>169</v>
      </c>
      <c r="F213" s="11" t="s">
        <v>44</v>
      </c>
      <c r="G213" s="11" t="s">
        <v>45</v>
      </c>
      <c r="H213" s="11" t="s">
        <v>46</v>
      </c>
    </row>
    <row r="214" spans="1:8" x14ac:dyDescent="0.35">
      <c r="A214" s="2" t="s">
        <v>5</v>
      </c>
      <c r="B214" s="2" t="s">
        <v>18</v>
      </c>
      <c r="C214" s="3">
        <v>7223</v>
      </c>
      <c r="D214" s="4">
        <v>41973</v>
      </c>
      <c r="E214" s="11" t="s">
        <v>170</v>
      </c>
      <c r="F214" s="11" t="s">
        <v>36</v>
      </c>
      <c r="G214" s="11" t="s">
        <v>37</v>
      </c>
      <c r="H214" s="11" t="s">
        <v>46</v>
      </c>
    </row>
    <row r="215" spans="1:8" x14ac:dyDescent="0.35">
      <c r="A215" s="2" t="s">
        <v>7</v>
      </c>
      <c r="B215" s="2" t="s">
        <v>18</v>
      </c>
      <c r="C215" s="3">
        <v>4673</v>
      </c>
      <c r="D215" s="4">
        <v>41975</v>
      </c>
      <c r="E215" s="11" t="s">
        <v>169</v>
      </c>
      <c r="F215" s="11" t="s">
        <v>44</v>
      </c>
      <c r="G215" s="11" t="s">
        <v>45</v>
      </c>
      <c r="H215" s="11" t="s">
        <v>46</v>
      </c>
    </row>
    <row r="216" spans="1:8" x14ac:dyDescent="0.35">
      <c r="A216" s="2" t="s">
        <v>7</v>
      </c>
      <c r="B216" s="2" t="s">
        <v>18</v>
      </c>
      <c r="C216" s="3">
        <v>9104</v>
      </c>
      <c r="D216" s="4">
        <v>41977</v>
      </c>
      <c r="E216" s="11" t="s">
        <v>56</v>
      </c>
      <c r="F216" s="11" t="s">
        <v>57</v>
      </c>
      <c r="G216" s="11" t="s">
        <v>41</v>
      </c>
      <c r="H216" s="11" t="s">
        <v>34</v>
      </c>
    </row>
    <row r="217" spans="1:8" x14ac:dyDescent="0.35">
      <c r="A217" s="2" t="s">
        <v>10</v>
      </c>
      <c r="B217" s="2" t="s">
        <v>18</v>
      </c>
      <c r="C217" s="3">
        <v>6078</v>
      </c>
      <c r="D217" s="4">
        <v>41978</v>
      </c>
      <c r="E217" s="11" t="s">
        <v>164</v>
      </c>
      <c r="F217" s="11" t="s">
        <v>57</v>
      </c>
      <c r="G217" s="11" t="s">
        <v>41</v>
      </c>
      <c r="H217" s="11" t="s">
        <v>29</v>
      </c>
    </row>
    <row r="218" spans="1:8" x14ac:dyDescent="0.35">
      <c r="A218" s="2" t="s">
        <v>6</v>
      </c>
      <c r="B218" s="2" t="s">
        <v>18</v>
      </c>
      <c r="C218" s="3">
        <v>3278</v>
      </c>
      <c r="D218" s="4">
        <v>41979</v>
      </c>
      <c r="E218" s="11" t="s">
        <v>171</v>
      </c>
      <c r="F218" s="11" t="s">
        <v>50</v>
      </c>
      <c r="G218" s="11" t="s">
        <v>41</v>
      </c>
      <c r="H218" s="11" t="s">
        <v>34</v>
      </c>
    </row>
    <row r="219" spans="1:8" x14ac:dyDescent="0.35">
      <c r="A219" s="2" t="s">
        <v>5</v>
      </c>
      <c r="B219" s="2" t="s">
        <v>19</v>
      </c>
      <c r="C219" s="3">
        <v>136</v>
      </c>
      <c r="D219" s="4">
        <v>41985</v>
      </c>
      <c r="E219" s="11" t="s">
        <v>172</v>
      </c>
      <c r="F219" s="11" t="s">
        <v>48</v>
      </c>
      <c r="G219" s="11" t="s">
        <v>37</v>
      </c>
      <c r="H219" s="11" t="s">
        <v>34</v>
      </c>
    </row>
    <row r="220" spans="1:8" x14ac:dyDescent="0.35">
      <c r="A220" s="2" t="s">
        <v>5</v>
      </c>
      <c r="B220" s="2" t="s">
        <v>18</v>
      </c>
      <c r="C220" s="3">
        <v>8377</v>
      </c>
      <c r="D220" s="4">
        <v>41985</v>
      </c>
      <c r="E220" s="11" t="s">
        <v>88</v>
      </c>
      <c r="F220" s="11" t="s">
        <v>48</v>
      </c>
      <c r="G220" s="11" t="s">
        <v>37</v>
      </c>
      <c r="H220" s="11" t="s">
        <v>29</v>
      </c>
    </row>
    <row r="221" spans="1:8" x14ac:dyDescent="0.35">
      <c r="A221" s="2" t="s">
        <v>5</v>
      </c>
      <c r="B221" s="2" t="s">
        <v>18</v>
      </c>
      <c r="C221" s="3">
        <v>2382</v>
      </c>
      <c r="D221" s="4">
        <v>41985</v>
      </c>
      <c r="E221" s="11" t="s">
        <v>173</v>
      </c>
      <c r="F221" s="11" t="s">
        <v>36</v>
      </c>
      <c r="G221" s="11" t="s">
        <v>37</v>
      </c>
      <c r="H221" s="11" t="s">
        <v>38</v>
      </c>
    </row>
    <row r="222" spans="1:8" x14ac:dyDescent="0.35">
      <c r="A222" s="2" t="s">
        <v>5</v>
      </c>
      <c r="B222" s="2" t="s">
        <v>18</v>
      </c>
      <c r="C222" s="3">
        <v>8702</v>
      </c>
      <c r="D222" s="4">
        <v>41988</v>
      </c>
      <c r="E222" s="11" t="s">
        <v>174</v>
      </c>
      <c r="F222" s="11" t="s">
        <v>99</v>
      </c>
      <c r="G222" s="11" t="s">
        <v>28</v>
      </c>
      <c r="H222" s="11" t="s">
        <v>46</v>
      </c>
    </row>
    <row r="223" spans="1:8" x14ac:dyDescent="0.35">
      <c r="A223" s="2" t="s">
        <v>5</v>
      </c>
      <c r="B223" s="2" t="s">
        <v>18</v>
      </c>
      <c r="C223" s="3">
        <v>5021</v>
      </c>
      <c r="D223" s="4">
        <v>41989</v>
      </c>
      <c r="E223" s="11" t="s">
        <v>175</v>
      </c>
      <c r="F223" s="11" t="s">
        <v>48</v>
      </c>
      <c r="G223" s="11" t="s">
        <v>37</v>
      </c>
      <c r="H223" s="11" t="s">
        <v>29</v>
      </c>
    </row>
    <row r="224" spans="1:8" x14ac:dyDescent="0.35">
      <c r="A224" s="2" t="s">
        <v>10</v>
      </c>
      <c r="B224" s="2" t="s">
        <v>18</v>
      </c>
      <c r="C224" s="3">
        <v>6000</v>
      </c>
      <c r="D224" s="4">
        <v>41989</v>
      </c>
      <c r="E224" s="11" t="s">
        <v>88</v>
      </c>
      <c r="F224" s="11" t="s">
        <v>48</v>
      </c>
      <c r="G224" s="11" t="s">
        <v>37</v>
      </c>
      <c r="H224" s="11" t="s">
        <v>42</v>
      </c>
    </row>
    <row r="225" spans="1:8" x14ac:dyDescent="0.35">
      <c r="A225" s="2" t="s">
        <v>5</v>
      </c>
      <c r="B225" s="2" t="s">
        <v>18</v>
      </c>
      <c r="C225" s="3">
        <v>9000</v>
      </c>
      <c r="D225" s="4">
        <v>41991</v>
      </c>
      <c r="E225" s="11" t="s">
        <v>176</v>
      </c>
      <c r="F225" s="11" t="s">
        <v>31</v>
      </c>
      <c r="G225" s="11" t="s">
        <v>28</v>
      </c>
      <c r="H225" s="11" t="s">
        <v>34</v>
      </c>
    </row>
    <row r="226" spans="1:8" x14ac:dyDescent="0.35">
      <c r="A226" s="2" t="s">
        <v>6</v>
      </c>
      <c r="B226" s="2" t="s">
        <v>18</v>
      </c>
      <c r="C226" s="3">
        <v>1541</v>
      </c>
      <c r="D226" s="4">
        <v>41992</v>
      </c>
      <c r="E226" s="11" t="s">
        <v>97</v>
      </c>
      <c r="F226" s="11" t="s">
        <v>40</v>
      </c>
      <c r="G226" s="11" t="s">
        <v>41</v>
      </c>
      <c r="H226" s="11" t="s">
        <v>29</v>
      </c>
    </row>
    <row r="227" spans="1:8" x14ac:dyDescent="0.35">
      <c r="A227" s="2" t="s">
        <v>9</v>
      </c>
      <c r="B227" s="2" t="s">
        <v>18</v>
      </c>
      <c r="C227" s="3">
        <v>2782</v>
      </c>
      <c r="D227" s="4">
        <v>41993</v>
      </c>
      <c r="E227" s="11" t="s">
        <v>177</v>
      </c>
      <c r="F227" s="11" t="s">
        <v>57</v>
      </c>
      <c r="G227" s="11" t="s">
        <v>41</v>
      </c>
      <c r="H227" s="11" t="s">
        <v>42</v>
      </c>
    </row>
    <row r="228" spans="1:8" x14ac:dyDescent="0.35">
      <c r="A228" s="2" t="s">
        <v>10</v>
      </c>
      <c r="B228" s="2" t="s">
        <v>18</v>
      </c>
      <c r="C228" s="3">
        <v>2455</v>
      </c>
      <c r="D228" s="4">
        <v>41993</v>
      </c>
      <c r="E228" s="11" t="s">
        <v>158</v>
      </c>
      <c r="F228" s="11" t="s">
        <v>31</v>
      </c>
      <c r="G228" s="11" t="s">
        <v>28</v>
      </c>
      <c r="H228" s="11" t="s">
        <v>42</v>
      </c>
    </row>
    <row r="229" spans="1:8" x14ac:dyDescent="0.35">
      <c r="A229" s="2" t="s">
        <v>10</v>
      </c>
      <c r="B229" s="2" t="s">
        <v>18</v>
      </c>
      <c r="C229" s="3">
        <v>8752</v>
      </c>
      <c r="D229" s="4">
        <v>41995</v>
      </c>
      <c r="E229" s="11" t="s">
        <v>60</v>
      </c>
      <c r="F229" s="11" t="s">
        <v>36</v>
      </c>
      <c r="G229" s="11" t="s">
        <v>37</v>
      </c>
      <c r="H229" s="11" t="s">
        <v>29</v>
      </c>
    </row>
    <row r="230" spans="1:8" x14ac:dyDescent="0.35">
      <c r="A230" s="2" t="s">
        <v>7</v>
      </c>
      <c r="B230" s="2" t="s">
        <v>16</v>
      </c>
      <c r="C230" s="3">
        <v>9127</v>
      </c>
      <c r="D230" s="4">
        <v>41998</v>
      </c>
      <c r="E230" s="11" t="s">
        <v>178</v>
      </c>
      <c r="F230" s="11" t="s">
        <v>36</v>
      </c>
      <c r="G230" s="11" t="s">
        <v>37</v>
      </c>
      <c r="H230" s="11" t="s">
        <v>29</v>
      </c>
    </row>
    <row r="231" spans="1:8" x14ac:dyDescent="0.35">
      <c r="A231" s="2" t="s">
        <v>10</v>
      </c>
      <c r="B231" s="2" t="s">
        <v>18</v>
      </c>
      <c r="C231" s="3">
        <v>1777</v>
      </c>
      <c r="D231" s="4">
        <v>42001</v>
      </c>
      <c r="E231" s="11" t="s">
        <v>123</v>
      </c>
      <c r="F231" s="11" t="s">
        <v>84</v>
      </c>
      <c r="G231" s="11" t="s">
        <v>28</v>
      </c>
      <c r="H231" s="11" t="s">
        <v>38</v>
      </c>
    </row>
    <row r="232" spans="1:8" x14ac:dyDescent="0.35">
      <c r="A232" s="2" t="s">
        <v>6</v>
      </c>
      <c r="B232" s="2" t="s">
        <v>18</v>
      </c>
      <c r="C232" s="3">
        <v>680</v>
      </c>
      <c r="D232" s="4">
        <v>42001</v>
      </c>
      <c r="E232" s="11" t="s">
        <v>169</v>
      </c>
      <c r="F232" s="11" t="s">
        <v>44</v>
      </c>
      <c r="G232" s="11" t="s">
        <v>45</v>
      </c>
      <c r="H232" s="11" t="s">
        <v>46</v>
      </c>
    </row>
    <row r="233" spans="1:8" x14ac:dyDescent="0.35">
      <c r="A233" s="2" t="s">
        <v>9</v>
      </c>
      <c r="B233" s="2" t="s">
        <v>18</v>
      </c>
      <c r="C233" s="3">
        <v>958</v>
      </c>
      <c r="D233" s="4">
        <v>42002</v>
      </c>
      <c r="E233" s="11" t="s">
        <v>179</v>
      </c>
      <c r="F233" s="11" t="s">
        <v>44</v>
      </c>
      <c r="G233" s="11" t="s">
        <v>45</v>
      </c>
      <c r="H233" s="11" t="s">
        <v>46</v>
      </c>
    </row>
    <row r="234" spans="1:8" x14ac:dyDescent="0.35">
      <c r="A234" s="2" t="s">
        <v>9</v>
      </c>
      <c r="B234" s="2" t="s">
        <v>18</v>
      </c>
      <c r="C234" s="3">
        <v>958</v>
      </c>
      <c r="D234" s="4">
        <v>42003</v>
      </c>
      <c r="E234" s="11" t="s">
        <v>180</v>
      </c>
      <c r="F234" s="11" t="s">
        <v>181</v>
      </c>
      <c r="G234" s="11" t="s">
        <v>63</v>
      </c>
      <c r="H234" s="11" t="s">
        <v>46</v>
      </c>
    </row>
    <row r="235" spans="1:8" x14ac:dyDescent="0.35">
      <c r="A235" s="2" t="s">
        <v>7</v>
      </c>
      <c r="B235" s="2" t="s">
        <v>19</v>
      </c>
      <c r="C235" s="3">
        <v>2613</v>
      </c>
      <c r="D235" s="4">
        <v>42002</v>
      </c>
      <c r="E235" s="11" t="s">
        <v>182</v>
      </c>
      <c r="F235" s="11" t="s">
        <v>44</v>
      </c>
      <c r="G235" s="11" t="s">
        <v>45</v>
      </c>
      <c r="H235" s="11" t="s">
        <v>34</v>
      </c>
    </row>
    <row r="236" spans="1:8" x14ac:dyDescent="0.35">
      <c r="A236" s="2" t="s">
        <v>7</v>
      </c>
      <c r="B236" s="2" t="s">
        <v>18</v>
      </c>
      <c r="C236" s="3">
        <v>339</v>
      </c>
      <c r="D236" s="4">
        <v>42003</v>
      </c>
      <c r="E236" s="11" t="s">
        <v>121</v>
      </c>
      <c r="F236" s="11" t="s">
        <v>122</v>
      </c>
      <c r="G236" s="11" t="s">
        <v>37</v>
      </c>
      <c r="H236" s="11" t="s">
        <v>29</v>
      </c>
    </row>
    <row r="237" spans="1:8" x14ac:dyDescent="0.35">
      <c r="A237" s="9" t="s">
        <v>6</v>
      </c>
      <c r="B237" s="2" t="s">
        <v>18</v>
      </c>
      <c r="C237" s="10">
        <v>1000</v>
      </c>
      <c r="D237" s="4">
        <v>42003</v>
      </c>
      <c r="E237" s="11" t="s">
        <v>147</v>
      </c>
      <c r="F237" s="11" t="s">
        <v>148</v>
      </c>
      <c r="G237" s="11" t="s">
        <v>63</v>
      </c>
      <c r="H237" s="11" t="s">
        <v>38</v>
      </c>
    </row>
    <row r="238" spans="1:8" x14ac:dyDescent="0.35">
      <c r="A238" s="9" t="s">
        <v>9</v>
      </c>
      <c r="B238" s="2" t="s">
        <v>19</v>
      </c>
      <c r="C238" s="10">
        <v>1000</v>
      </c>
      <c r="D238" s="4">
        <v>42003</v>
      </c>
      <c r="E238" s="11" t="s">
        <v>121</v>
      </c>
      <c r="F238" s="11" t="s">
        <v>66</v>
      </c>
      <c r="G238" s="11" t="s">
        <v>28</v>
      </c>
      <c r="H238" s="11" t="s">
        <v>42</v>
      </c>
    </row>
    <row r="239" spans="1:8" x14ac:dyDescent="0.35">
      <c r="A239" s="9" t="s">
        <v>4</v>
      </c>
      <c r="B239" s="9" t="s">
        <v>20</v>
      </c>
      <c r="C239" s="10">
        <v>2824</v>
      </c>
      <c r="D239" s="16">
        <v>41661</v>
      </c>
      <c r="E239" s="9" t="s">
        <v>58</v>
      </c>
      <c r="F239" s="9" t="s">
        <v>57</v>
      </c>
      <c r="G239" s="9" t="s">
        <v>41</v>
      </c>
      <c r="H239" s="9" t="s">
        <v>29</v>
      </c>
    </row>
    <row r="240" spans="1:8" x14ac:dyDescent="0.35">
      <c r="A240" s="9" t="s">
        <v>10</v>
      </c>
      <c r="B240" s="9" t="s">
        <v>21</v>
      </c>
      <c r="C240" s="10">
        <v>6946</v>
      </c>
      <c r="D240" s="16">
        <v>41663</v>
      </c>
      <c r="E240" s="9" t="s">
        <v>59</v>
      </c>
      <c r="F240" s="9" t="s">
        <v>36</v>
      </c>
      <c r="G240" s="9" t="s">
        <v>37</v>
      </c>
      <c r="H240" s="9" t="s">
        <v>38</v>
      </c>
    </row>
    <row r="241" spans="1:8" x14ac:dyDescent="0.35">
      <c r="A241" s="9" t="s">
        <v>5</v>
      </c>
      <c r="B241" s="9" t="s">
        <v>17</v>
      </c>
      <c r="C241" s="10">
        <v>2320</v>
      </c>
      <c r="D241" s="16">
        <v>41666</v>
      </c>
      <c r="E241" s="9" t="s">
        <v>60</v>
      </c>
      <c r="F241" s="9" t="s">
        <v>36</v>
      </c>
      <c r="G241" s="9" t="s">
        <v>37</v>
      </c>
      <c r="H241" s="9" t="s">
        <v>46</v>
      </c>
    </row>
    <row r="242" spans="1:8" x14ac:dyDescent="0.35">
      <c r="A242" s="9" t="s">
        <v>5</v>
      </c>
      <c r="B242" s="9" t="s">
        <v>17</v>
      </c>
      <c r="C242" s="10">
        <v>2116</v>
      </c>
      <c r="D242" s="16">
        <v>41667</v>
      </c>
      <c r="E242" s="9" t="s">
        <v>35</v>
      </c>
      <c r="F242" s="9" t="s">
        <v>36</v>
      </c>
      <c r="G242" s="9" t="s">
        <v>37</v>
      </c>
      <c r="H242" s="9" t="s">
        <v>29</v>
      </c>
    </row>
    <row r="243" spans="1:8" x14ac:dyDescent="0.35">
      <c r="A243" s="9" t="s">
        <v>5</v>
      </c>
      <c r="B243" s="9" t="s">
        <v>21</v>
      </c>
      <c r="C243" s="10">
        <v>1135</v>
      </c>
      <c r="D243" s="16">
        <v>41669</v>
      </c>
      <c r="E243" s="9" t="s">
        <v>61</v>
      </c>
      <c r="F243" s="9" t="s">
        <v>62</v>
      </c>
      <c r="G243" s="9" t="s">
        <v>63</v>
      </c>
      <c r="H243" s="9" t="s">
        <v>42</v>
      </c>
    </row>
    <row r="244" spans="1:8" x14ac:dyDescent="0.35">
      <c r="A244" s="9" t="s">
        <v>4</v>
      </c>
      <c r="B244" s="9" t="s">
        <v>21</v>
      </c>
      <c r="C244" s="10">
        <v>3595</v>
      </c>
      <c r="D244" s="16">
        <v>41669</v>
      </c>
      <c r="E244" s="9" t="s">
        <v>64</v>
      </c>
      <c r="F244" s="9" t="s">
        <v>57</v>
      </c>
      <c r="G244" s="9" t="s">
        <v>41</v>
      </c>
      <c r="H244" s="9" t="s">
        <v>34</v>
      </c>
    </row>
    <row r="245" spans="1:8" x14ac:dyDescent="0.35">
      <c r="A245" s="9" t="s">
        <v>10</v>
      </c>
      <c r="B245" s="9" t="s">
        <v>16</v>
      </c>
      <c r="C245" s="10">
        <v>1161</v>
      </c>
      <c r="D245" s="16">
        <v>41672</v>
      </c>
      <c r="E245" s="9" t="s">
        <v>43</v>
      </c>
      <c r="F245" s="9" t="s">
        <v>44</v>
      </c>
      <c r="G245" s="9" t="s">
        <v>45</v>
      </c>
      <c r="H245" s="9" t="s">
        <v>29</v>
      </c>
    </row>
    <row r="246" spans="1:8" x14ac:dyDescent="0.35">
      <c r="A246" s="9" t="s">
        <v>9</v>
      </c>
      <c r="B246" s="9" t="s">
        <v>16</v>
      </c>
      <c r="C246" s="10">
        <v>2256</v>
      </c>
      <c r="D246" s="16">
        <v>41674</v>
      </c>
      <c r="E246" s="9" t="s">
        <v>54</v>
      </c>
      <c r="F246" s="9" t="s">
        <v>50</v>
      </c>
      <c r="G246" s="9" t="s">
        <v>41</v>
      </c>
      <c r="H246" s="9" t="s">
        <v>42</v>
      </c>
    </row>
    <row r="247" spans="1:8" x14ac:dyDescent="0.35">
      <c r="A247" s="9" t="s">
        <v>5</v>
      </c>
      <c r="B247" s="9" t="s">
        <v>16</v>
      </c>
      <c r="C247" s="10">
        <v>3642</v>
      </c>
      <c r="D247" s="16">
        <v>41676</v>
      </c>
      <c r="E247" s="9" t="s">
        <v>65</v>
      </c>
      <c r="F247" s="9" t="s">
        <v>66</v>
      </c>
      <c r="G247" s="9" t="s">
        <v>28</v>
      </c>
      <c r="H247" s="9" t="s">
        <v>42</v>
      </c>
    </row>
    <row r="248" spans="1:8" x14ac:dyDescent="0.35">
      <c r="A248" s="9" t="s">
        <v>5</v>
      </c>
      <c r="B248" s="9" t="s">
        <v>15</v>
      </c>
      <c r="C248" s="10">
        <v>4582</v>
      </c>
      <c r="D248" s="16">
        <v>41682</v>
      </c>
      <c r="E248" s="9" t="s">
        <v>67</v>
      </c>
      <c r="F248" s="9" t="s">
        <v>44</v>
      </c>
      <c r="G248" s="9" t="s">
        <v>45</v>
      </c>
      <c r="H248" s="9" t="s">
        <v>29</v>
      </c>
    </row>
    <row r="249" spans="1:8" x14ac:dyDescent="0.35">
      <c r="A249" s="9" t="s">
        <v>6</v>
      </c>
      <c r="B249" s="9" t="s">
        <v>16</v>
      </c>
      <c r="C249" s="10">
        <v>3559</v>
      </c>
      <c r="D249" s="16">
        <v>41684</v>
      </c>
      <c r="E249" s="9" t="s">
        <v>68</v>
      </c>
      <c r="F249" s="9" t="s">
        <v>69</v>
      </c>
      <c r="G249" s="9" t="s">
        <v>41</v>
      </c>
      <c r="H249" s="9" t="s">
        <v>29</v>
      </c>
    </row>
    <row r="250" spans="1:8" x14ac:dyDescent="0.35">
      <c r="A250" s="9" t="s">
        <v>7</v>
      </c>
      <c r="B250" s="9" t="s">
        <v>15</v>
      </c>
      <c r="C250" s="10">
        <v>5154</v>
      </c>
      <c r="D250" s="16">
        <v>41687</v>
      </c>
      <c r="E250" s="9" t="s">
        <v>70</v>
      </c>
      <c r="F250" s="9" t="s">
        <v>69</v>
      </c>
      <c r="G250" s="9" t="s">
        <v>41</v>
      </c>
      <c r="H250" s="9" t="s">
        <v>38</v>
      </c>
    </row>
    <row r="251" spans="1:8" x14ac:dyDescent="0.35">
      <c r="A251" s="9" t="s">
        <v>8</v>
      </c>
      <c r="B251" s="9" t="s">
        <v>16</v>
      </c>
      <c r="C251" s="10">
        <v>7388</v>
      </c>
      <c r="D251" s="16">
        <v>41688</v>
      </c>
      <c r="E251" s="9" t="s">
        <v>30</v>
      </c>
      <c r="F251" s="9" t="s">
        <v>31</v>
      </c>
      <c r="G251" s="9" t="s">
        <v>28</v>
      </c>
      <c r="H251" s="9" t="s">
        <v>46</v>
      </c>
    </row>
    <row r="252" spans="1:8" x14ac:dyDescent="0.35">
      <c r="A252" s="9" t="s">
        <v>6</v>
      </c>
      <c r="B252" s="9" t="s">
        <v>15</v>
      </c>
      <c r="C252" s="10">
        <v>7163</v>
      </c>
      <c r="D252" s="16">
        <v>41688</v>
      </c>
      <c r="E252" s="9" t="s">
        <v>71</v>
      </c>
      <c r="F252" s="9" t="s">
        <v>72</v>
      </c>
      <c r="G252" s="9" t="s">
        <v>41</v>
      </c>
      <c r="H252" s="9" t="s">
        <v>46</v>
      </c>
    </row>
    <row r="253" spans="1:8" x14ac:dyDescent="0.35">
      <c r="A253" s="9" t="s">
        <v>6</v>
      </c>
      <c r="B253" s="9" t="s">
        <v>16</v>
      </c>
      <c r="C253" s="10">
        <v>5101</v>
      </c>
      <c r="D253" s="16">
        <v>41690</v>
      </c>
      <c r="E253" s="9" t="s">
        <v>54</v>
      </c>
      <c r="F253" s="9" t="s">
        <v>50</v>
      </c>
      <c r="G253" s="9" t="s">
        <v>41</v>
      </c>
      <c r="H253" s="9" t="s">
        <v>46</v>
      </c>
    </row>
    <row r="254" spans="1:8" x14ac:dyDescent="0.35">
      <c r="A254" s="9" t="s">
        <v>10</v>
      </c>
      <c r="B254" s="9" t="s">
        <v>15</v>
      </c>
      <c r="C254" s="10">
        <v>7602</v>
      </c>
      <c r="D254" s="16">
        <v>41691</v>
      </c>
      <c r="E254" s="9" t="s">
        <v>43</v>
      </c>
      <c r="F254" s="9" t="s">
        <v>44</v>
      </c>
      <c r="G254" s="9" t="s">
        <v>45</v>
      </c>
      <c r="H254" s="9" t="s">
        <v>34</v>
      </c>
    </row>
    <row r="255" spans="1:8" x14ac:dyDescent="0.35">
      <c r="A255" s="9" t="s">
        <v>8</v>
      </c>
      <c r="B255" s="9" t="s">
        <v>16</v>
      </c>
      <c r="C255" s="10">
        <v>1641</v>
      </c>
      <c r="D255" s="16">
        <v>41692</v>
      </c>
      <c r="E255" s="9" t="s">
        <v>73</v>
      </c>
      <c r="F255" s="9" t="s">
        <v>62</v>
      </c>
      <c r="G255" s="9" t="s">
        <v>63</v>
      </c>
      <c r="H255" s="9" t="s">
        <v>29</v>
      </c>
    </row>
    <row r="256" spans="1:8" x14ac:dyDescent="0.35">
      <c r="A256" s="9" t="s">
        <v>10</v>
      </c>
      <c r="B256" s="9" t="s">
        <v>15</v>
      </c>
      <c r="C256" s="10">
        <v>8892</v>
      </c>
      <c r="D256" s="16">
        <v>41693</v>
      </c>
      <c r="E256" s="9" t="s">
        <v>74</v>
      </c>
      <c r="F256" s="9" t="s">
        <v>36</v>
      </c>
      <c r="G256" s="9" t="s">
        <v>37</v>
      </c>
      <c r="H256" s="9" t="s">
        <v>34</v>
      </c>
    </row>
    <row r="257" spans="1:8" x14ac:dyDescent="0.35">
      <c r="A257" s="9" t="s">
        <v>10</v>
      </c>
      <c r="B257" s="9" t="s">
        <v>16</v>
      </c>
      <c r="C257" s="10">
        <v>2060</v>
      </c>
      <c r="D257" s="16">
        <v>41698</v>
      </c>
      <c r="E257" s="9" t="s">
        <v>75</v>
      </c>
      <c r="F257" s="9" t="s">
        <v>76</v>
      </c>
      <c r="G257" s="9" t="s">
        <v>53</v>
      </c>
      <c r="H257" s="9" t="s">
        <v>34</v>
      </c>
    </row>
    <row r="258" spans="1:8" x14ac:dyDescent="0.35">
      <c r="A258" s="9" t="s">
        <v>4</v>
      </c>
      <c r="B258" s="9" t="s">
        <v>15</v>
      </c>
      <c r="C258" s="10">
        <v>1557</v>
      </c>
      <c r="D258" s="16">
        <v>41698</v>
      </c>
      <c r="E258" s="9" t="s">
        <v>77</v>
      </c>
      <c r="F258" s="9" t="s">
        <v>78</v>
      </c>
      <c r="G258" s="9" t="s">
        <v>45</v>
      </c>
      <c r="H258" s="9" t="s">
        <v>29</v>
      </c>
    </row>
    <row r="259" spans="1:8" x14ac:dyDescent="0.35">
      <c r="A259" s="9" t="s">
        <v>10</v>
      </c>
      <c r="B259" s="9" t="s">
        <v>16</v>
      </c>
      <c r="C259" s="10">
        <v>6509</v>
      </c>
      <c r="D259" s="16">
        <v>41699</v>
      </c>
      <c r="E259" s="9" t="s">
        <v>79</v>
      </c>
      <c r="F259" s="9" t="s">
        <v>80</v>
      </c>
      <c r="G259" s="9" t="s">
        <v>45</v>
      </c>
      <c r="H259" s="9" t="s">
        <v>38</v>
      </c>
    </row>
    <row r="260" spans="1:8" x14ac:dyDescent="0.35">
      <c r="A260" s="9" t="s">
        <v>10</v>
      </c>
      <c r="B260" s="9" t="s">
        <v>17</v>
      </c>
      <c r="C260" s="10">
        <v>5718</v>
      </c>
      <c r="D260" s="16">
        <v>41702</v>
      </c>
      <c r="E260" s="9" t="s">
        <v>81</v>
      </c>
      <c r="F260" s="9" t="s">
        <v>82</v>
      </c>
      <c r="G260" s="9" t="s">
        <v>45</v>
      </c>
      <c r="H260" s="9" t="s">
        <v>46</v>
      </c>
    </row>
    <row r="261" spans="1:8" x14ac:dyDescent="0.35">
      <c r="A261" s="9" t="s">
        <v>10</v>
      </c>
      <c r="B261" s="9" t="s">
        <v>18</v>
      </c>
      <c r="C261" s="10">
        <v>7655</v>
      </c>
      <c r="D261" s="16">
        <v>41703</v>
      </c>
      <c r="E261" s="9" t="s">
        <v>83</v>
      </c>
      <c r="F261" s="9" t="s">
        <v>84</v>
      </c>
      <c r="G261" s="9" t="s">
        <v>28</v>
      </c>
      <c r="H261" s="9" t="s">
        <v>29</v>
      </c>
    </row>
    <row r="262" spans="1:8" x14ac:dyDescent="0.35">
      <c r="A262" s="9" t="s">
        <v>7</v>
      </c>
      <c r="B262" s="9" t="s">
        <v>20</v>
      </c>
      <c r="C262" s="10">
        <v>9116</v>
      </c>
      <c r="D262" s="16">
        <v>41703</v>
      </c>
      <c r="E262" s="9" t="s">
        <v>85</v>
      </c>
      <c r="F262" s="9" t="s">
        <v>86</v>
      </c>
      <c r="G262" s="9" t="s">
        <v>28</v>
      </c>
      <c r="H262" s="9" t="s">
        <v>42</v>
      </c>
    </row>
    <row r="263" spans="1:8" x14ac:dyDescent="0.35">
      <c r="A263" s="9" t="s">
        <v>5</v>
      </c>
      <c r="B263" s="9" t="s">
        <v>18</v>
      </c>
      <c r="C263" s="10">
        <v>2795</v>
      </c>
      <c r="D263" s="16">
        <v>41713</v>
      </c>
      <c r="E263" s="9" t="s">
        <v>87</v>
      </c>
      <c r="F263" s="9" t="s">
        <v>52</v>
      </c>
      <c r="G263" s="9" t="s">
        <v>53</v>
      </c>
      <c r="H263" s="9" t="s">
        <v>34</v>
      </c>
    </row>
    <row r="264" spans="1:8" x14ac:dyDescent="0.35">
      <c r="A264" s="9" t="s">
        <v>5</v>
      </c>
      <c r="B264" s="9" t="s">
        <v>18</v>
      </c>
      <c r="C264" s="10">
        <v>5084</v>
      </c>
      <c r="D264" s="16">
        <v>41713</v>
      </c>
      <c r="E264" s="9" t="s">
        <v>35</v>
      </c>
      <c r="F264" s="9" t="s">
        <v>36</v>
      </c>
      <c r="G264" s="9" t="s">
        <v>37</v>
      </c>
      <c r="H264" s="9" t="s">
        <v>29</v>
      </c>
    </row>
    <row r="265" spans="1:8" x14ac:dyDescent="0.35">
      <c r="A265" s="9" t="s">
        <v>7</v>
      </c>
      <c r="B265" s="9" t="s">
        <v>18</v>
      </c>
      <c r="C265" s="10">
        <v>8941</v>
      </c>
      <c r="D265" s="16">
        <v>41713</v>
      </c>
      <c r="E265" s="9" t="s">
        <v>65</v>
      </c>
      <c r="F265" s="9" t="s">
        <v>66</v>
      </c>
      <c r="G265" s="9" t="s">
        <v>28</v>
      </c>
      <c r="H265" s="9" t="s">
        <v>42</v>
      </c>
    </row>
    <row r="266" spans="1:8" x14ac:dyDescent="0.35">
      <c r="A266" s="9" t="s">
        <v>4</v>
      </c>
      <c r="B266" s="9" t="s">
        <v>20</v>
      </c>
      <c r="C266" s="10">
        <v>5341</v>
      </c>
      <c r="D266" s="16">
        <v>41714</v>
      </c>
      <c r="E266" s="9" t="s">
        <v>88</v>
      </c>
      <c r="F266" s="9" t="s">
        <v>48</v>
      </c>
      <c r="G266" s="9" t="s">
        <v>37</v>
      </c>
      <c r="H266" s="9" t="s">
        <v>42</v>
      </c>
    </row>
    <row r="267" spans="1:8" x14ac:dyDescent="0.35">
      <c r="A267" s="9" t="s">
        <v>5</v>
      </c>
      <c r="B267" s="9" t="s">
        <v>20</v>
      </c>
      <c r="C267" s="10">
        <v>135</v>
      </c>
      <c r="D267" s="16">
        <v>41717</v>
      </c>
      <c r="E267" s="9" t="s">
        <v>74</v>
      </c>
      <c r="F267" s="9" t="s">
        <v>36</v>
      </c>
      <c r="G267" s="9" t="s">
        <v>37</v>
      </c>
      <c r="H267" s="9" t="s">
        <v>29</v>
      </c>
    </row>
    <row r="268" spans="1:8" x14ac:dyDescent="0.35">
      <c r="A268" s="9" t="s">
        <v>5</v>
      </c>
      <c r="B268" s="9" t="s">
        <v>21</v>
      </c>
      <c r="C268" s="10">
        <v>9400</v>
      </c>
      <c r="D268" s="16">
        <v>41717</v>
      </c>
      <c r="E268" s="9" t="s">
        <v>89</v>
      </c>
      <c r="F268" s="9" t="s">
        <v>72</v>
      </c>
      <c r="G268" s="9" t="s">
        <v>41</v>
      </c>
      <c r="H268" s="9" t="s">
        <v>29</v>
      </c>
    </row>
    <row r="269" spans="1:8" x14ac:dyDescent="0.35">
      <c r="A269" s="9" t="s">
        <v>6</v>
      </c>
      <c r="B269" s="9" t="s">
        <v>20</v>
      </c>
      <c r="C269" s="10">
        <v>6045</v>
      </c>
      <c r="D269" s="16">
        <v>41719</v>
      </c>
      <c r="E269" s="9" t="s">
        <v>90</v>
      </c>
      <c r="F269" s="9" t="s">
        <v>91</v>
      </c>
      <c r="G269" s="9" t="s">
        <v>63</v>
      </c>
      <c r="H269" s="9" t="s">
        <v>38</v>
      </c>
    </row>
    <row r="270" spans="1:8" x14ac:dyDescent="0.35">
      <c r="A270" s="9" t="s">
        <v>9</v>
      </c>
      <c r="B270" s="9" t="s">
        <v>18</v>
      </c>
      <c r="C270" s="10">
        <v>8887</v>
      </c>
      <c r="D270" s="16">
        <v>41721</v>
      </c>
      <c r="E270" s="9" t="s">
        <v>92</v>
      </c>
      <c r="F270" s="9" t="s">
        <v>40</v>
      </c>
      <c r="G270" s="9" t="s">
        <v>41</v>
      </c>
      <c r="H270" s="9" t="s">
        <v>46</v>
      </c>
    </row>
    <row r="271" spans="1:8" x14ac:dyDescent="0.35">
      <c r="A271" s="9" t="s">
        <v>9</v>
      </c>
      <c r="B271" s="9" t="s">
        <v>18</v>
      </c>
      <c r="C271" s="10">
        <v>6982</v>
      </c>
      <c r="D271" s="16">
        <v>41722</v>
      </c>
      <c r="E271" s="9" t="s">
        <v>93</v>
      </c>
      <c r="F271" s="9" t="s">
        <v>78</v>
      </c>
      <c r="G271" s="9" t="s">
        <v>45</v>
      </c>
      <c r="H271" s="9" t="s">
        <v>46</v>
      </c>
    </row>
    <row r="272" spans="1:8" x14ac:dyDescent="0.35">
      <c r="A272" s="9" t="s">
        <v>5</v>
      </c>
      <c r="B272" s="9" t="s">
        <v>21</v>
      </c>
      <c r="C272" s="10">
        <v>4029</v>
      </c>
      <c r="D272" s="16">
        <v>41724</v>
      </c>
      <c r="E272" s="9" t="s">
        <v>65</v>
      </c>
      <c r="F272" s="9" t="s">
        <v>66</v>
      </c>
      <c r="G272" s="9" t="s">
        <v>28</v>
      </c>
      <c r="H272" s="9" t="s">
        <v>46</v>
      </c>
    </row>
    <row r="273" spans="1:8" x14ac:dyDescent="0.35">
      <c r="A273" s="9" t="s">
        <v>7</v>
      </c>
      <c r="B273" s="9" t="s">
        <v>18</v>
      </c>
      <c r="C273" s="10">
        <v>3665</v>
      </c>
      <c r="D273" s="16">
        <v>41724</v>
      </c>
      <c r="E273" s="9" t="s">
        <v>47</v>
      </c>
      <c r="F273" s="9" t="s">
        <v>48</v>
      </c>
      <c r="G273" s="9" t="s">
        <v>37</v>
      </c>
      <c r="H273" s="9" t="s">
        <v>34</v>
      </c>
    </row>
    <row r="274" spans="1:8" x14ac:dyDescent="0.35">
      <c r="A274" s="9" t="s">
        <v>5</v>
      </c>
      <c r="B274" s="9" t="s">
        <v>18</v>
      </c>
      <c r="C274" s="10">
        <v>4781</v>
      </c>
      <c r="D274" s="16">
        <v>41727</v>
      </c>
      <c r="E274" s="9" t="s">
        <v>94</v>
      </c>
      <c r="F274" s="9" t="s">
        <v>44</v>
      </c>
      <c r="G274" s="9" t="s">
        <v>45</v>
      </c>
      <c r="H274" s="9" t="s">
        <v>29</v>
      </c>
    </row>
    <row r="275" spans="1:8" x14ac:dyDescent="0.35">
      <c r="A275" s="9" t="s">
        <v>8</v>
      </c>
      <c r="B275" s="9" t="s">
        <v>21</v>
      </c>
      <c r="C275" s="10">
        <v>3663</v>
      </c>
      <c r="D275" s="16">
        <v>41728</v>
      </c>
      <c r="E275" s="9" t="s">
        <v>95</v>
      </c>
      <c r="F275" s="9" t="s">
        <v>36</v>
      </c>
      <c r="G275" s="9" t="s">
        <v>37</v>
      </c>
      <c r="H275" s="9" t="s">
        <v>34</v>
      </c>
    </row>
    <row r="276" spans="1:8" x14ac:dyDescent="0.35">
      <c r="A276" s="9" t="s">
        <v>10</v>
      </c>
      <c r="B276" s="9" t="s">
        <v>21</v>
      </c>
      <c r="C276" s="10">
        <v>6331</v>
      </c>
      <c r="D276" s="16">
        <v>41730</v>
      </c>
      <c r="E276" s="9" t="s">
        <v>96</v>
      </c>
      <c r="F276" s="9" t="s">
        <v>36</v>
      </c>
      <c r="G276" s="9" t="s">
        <v>37</v>
      </c>
      <c r="H276" s="9" t="s">
        <v>34</v>
      </c>
    </row>
    <row r="277" spans="1:8" x14ac:dyDescent="0.35">
      <c r="A277" s="9" t="s">
        <v>10</v>
      </c>
      <c r="B277" s="9" t="s">
        <v>18</v>
      </c>
      <c r="C277" s="10">
        <v>4364</v>
      </c>
      <c r="D277" s="16">
        <v>41730</v>
      </c>
      <c r="E277" s="9" t="s">
        <v>97</v>
      </c>
      <c r="F277" s="9" t="s">
        <v>40</v>
      </c>
      <c r="G277" s="9" t="s">
        <v>41</v>
      </c>
      <c r="H277" s="9" t="s">
        <v>29</v>
      </c>
    </row>
    <row r="278" spans="1:8" x14ac:dyDescent="0.35">
      <c r="A278" s="9" t="s">
        <v>7</v>
      </c>
      <c r="B278" s="9" t="s">
        <v>20</v>
      </c>
      <c r="C278" s="10">
        <v>607</v>
      </c>
      <c r="D278" s="16">
        <v>41732</v>
      </c>
      <c r="E278" s="9" t="s">
        <v>26</v>
      </c>
      <c r="F278" s="9" t="s">
        <v>27</v>
      </c>
      <c r="G278" s="9" t="s">
        <v>28</v>
      </c>
      <c r="H278" s="9" t="s">
        <v>38</v>
      </c>
    </row>
    <row r="279" spans="1:8" x14ac:dyDescent="0.35">
      <c r="A279" s="9" t="s">
        <v>7</v>
      </c>
      <c r="B279" s="9" t="s">
        <v>18</v>
      </c>
      <c r="C279" s="10">
        <v>7659</v>
      </c>
      <c r="D279" s="16">
        <v>41735</v>
      </c>
      <c r="E279" s="9" t="s">
        <v>30</v>
      </c>
      <c r="F279" s="9" t="s">
        <v>31</v>
      </c>
      <c r="G279" s="9" t="s">
        <v>28</v>
      </c>
      <c r="H279" s="9" t="s">
        <v>46</v>
      </c>
    </row>
    <row r="280" spans="1:8" x14ac:dyDescent="0.35">
      <c r="A280" s="9" t="s">
        <v>4</v>
      </c>
      <c r="B280" s="9" t="s">
        <v>21</v>
      </c>
      <c r="C280" s="10">
        <v>277</v>
      </c>
      <c r="D280" s="16">
        <v>41741</v>
      </c>
      <c r="E280" s="9" t="s">
        <v>56</v>
      </c>
      <c r="F280" s="9" t="s">
        <v>57</v>
      </c>
      <c r="G280" s="9" t="s">
        <v>41</v>
      </c>
      <c r="H280" s="9" t="s">
        <v>29</v>
      </c>
    </row>
    <row r="281" spans="1:8" x14ac:dyDescent="0.35">
      <c r="A281" s="9" t="s">
        <v>5</v>
      </c>
      <c r="B281" s="9" t="s">
        <v>18</v>
      </c>
      <c r="C281" s="10">
        <v>235</v>
      </c>
      <c r="D281" s="16">
        <v>41746</v>
      </c>
      <c r="E281" s="9" t="s">
        <v>58</v>
      </c>
      <c r="F281" s="9" t="s">
        <v>57</v>
      </c>
      <c r="G281" s="9" t="s">
        <v>41</v>
      </c>
      <c r="H281" s="9" t="s">
        <v>42</v>
      </c>
    </row>
    <row r="282" spans="1:8" x14ac:dyDescent="0.35">
      <c r="A282" s="9" t="s">
        <v>9</v>
      </c>
      <c r="B282" s="9" t="s">
        <v>18</v>
      </c>
      <c r="C282" s="10">
        <v>1113</v>
      </c>
      <c r="D282" s="16">
        <v>41747</v>
      </c>
      <c r="E282" s="9" t="s">
        <v>98</v>
      </c>
      <c r="F282" s="9" t="s">
        <v>99</v>
      </c>
      <c r="G282" s="9" t="s">
        <v>28</v>
      </c>
      <c r="H282" s="9" t="s">
        <v>34</v>
      </c>
    </row>
    <row r="283" spans="1:8" x14ac:dyDescent="0.35">
      <c r="A283" s="9" t="s">
        <v>10</v>
      </c>
      <c r="B283" s="9" t="s">
        <v>21</v>
      </c>
      <c r="C283" s="10">
        <v>1128</v>
      </c>
      <c r="D283" s="16">
        <v>41750</v>
      </c>
      <c r="E283" s="9" t="s">
        <v>54</v>
      </c>
      <c r="F283" s="9" t="s">
        <v>50</v>
      </c>
      <c r="G283" s="9" t="s">
        <v>41</v>
      </c>
      <c r="H283" s="9" t="s">
        <v>29</v>
      </c>
    </row>
    <row r="284" spans="1:8" x14ac:dyDescent="0.35">
      <c r="A284" s="9" t="s">
        <v>4</v>
      </c>
      <c r="B284" s="9" t="s">
        <v>18</v>
      </c>
      <c r="C284" s="10">
        <v>9231</v>
      </c>
      <c r="D284" s="16">
        <v>41751</v>
      </c>
      <c r="E284" s="9" t="s">
        <v>93</v>
      </c>
      <c r="F284" s="9" t="s">
        <v>78</v>
      </c>
      <c r="G284" s="9" t="s">
        <v>45</v>
      </c>
      <c r="H284" s="9" t="s">
        <v>42</v>
      </c>
    </row>
    <row r="285" spans="1:8" x14ac:dyDescent="0.35">
      <c r="A285" s="9" t="s">
        <v>5</v>
      </c>
      <c r="B285" s="9" t="s">
        <v>21</v>
      </c>
      <c r="C285" s="10">
        <v>4387</v>
      </c>
      <c r="D285" s="16">
        <v>41752</v>
      </c>
      <c r="E285" s="9" t="s">
        <v>100</v>
      </c>
      <c r="F285" s="9" t="s">
        <v>50</v>
      </c>
      <c r="G285" s="9" t="s">
        <v>41</v>
      </c>
      <c r="H285" s="9" t="s">
        <v>42</v>
      </c>
    </row>
    <row r="286" spans="1:8" x14ac:dyDescent="0.35">
      <c r="A286" s="9" t="s">
        <v>10</v>
      </c>
      <c r="B286" s="9" t="s">
        <v>15</v>
      </c>
      <c r="C286" s="10">
        <v>2763</v>
      </c>
      <c r="D286" s="16">
        <v>41754</v>
      </c>
      <c r="E286" s="9" t="s">
        <v>101</v>
      </c>
      <c r="F286" s="9" t="s">
        <v>48</v>
      </c>
      <c r="G286" s="9" t="s">
        <v>37</v>
      </c>
      <c r="H286" s="9" t="s">
        <v>29</v>
      </c>
    </row>
    <row r="287" spans="1:8" x14ac:dyDescent="0.35">
      <c r="A287" s="9" t="s">
        <v>5</v>
      </c>
      <c r="B287" s="9" t="s">
        <v>18</v>
      </c>
      <c r="C287" s="10">
        <v>7898</v>
      </c>
      <c r="D287" s="16">
        <v>41756</v>
      </c>
      <c r="E287" s="9" t="s">
        <v>102</v>
      </c>
      <c r="F287" s="9" t="s">
        <v>103</v>
      </c>
      <c r="G287" s="9" t="s">
        <v>63</v>
      </c>
      <c r="H287" s="9" t="s">
        <v>29</v>
      </c>
    </row>
    <row r="288" spans="1:8" x14ac:dyDescent="0.35">
      <c r="A288" s="9" t="s">
        <v>5</v>
      </c>
      <c r="B288" s="9" t="s">
        <v>18</v>
      </c>
      <c r="C288" s="10">
        <v>2427</v>
      </c>
      <c r="D288" s="16">
        <v>41759</v>
      </c>
      <c r="E288" s="9" t="s">
        <v>58</v>
      </c>
      <c r="F288" s="9" t="s">
        <v>57</v>
      </c>
      <c r="G288" s="9" t="s">
        <v>41</v>
      </c>
      <c r="H288" s="9" t="s">
        <v>38</v>
      </c>
    </row>
    <row r="289" spans="1:8" x14ac:dyDescent="0.35">
      <c r="A289" s="9" t="s">
        <v>7</v>
      </c>
      <c r="B289" s="9" t="s">
        <v>16</v>
      </c>
      <c r="C289" s="10">
        <v>2789</v>
      </c>
      <c r="D289" s="16">
        <v>41760</v>
      </c>
      <c r="E289" s="9" t="s">
        <v>68</v>
      </c>
      <c r="F289" s="9" t="s">
        <v>69</v>
      </c>
      <c r="G289" s="9" t="s">
        <v>41</v>
      </c>
      <c r="H289" s="9" t="s">
        <v>46</v>
      </c>
    </row>
    <row r="290" spans="1:8" x14ac:dyDescent="0.35">
      <c r="A290" s="9" t="s">
        <v>5</v>
      </c>
      <c r="B290" s="9" t="s">
        <v>18</v>
      </c>
      <c r="C290" s="10">
        <v>4054</v>
      </c>
      <c r="D290" s="16">
        <v>41761</v>
      </c>
      <c r="E290" s="9" t="s">
        <v>65</v>
      </c>
      <c r="F290" s="9" t="s">
        <v>66</v>
      </c>
      <c r="G290" s="9" t="s">
        <v>28</v>
      </c>
      <c r="H290" s="9" t="s">
        <v>46</v>
      </c>
    </row>
    <row r="291" spans="1:8" x14ac:dyDescent="0.35">
      <c r="A291" s="9" t="s">
        <v>8</v>
      </c>
      <c r="B291" s="9" t="s">
        <v>21</v>
      </c>
      <c r="C291" s="10">
        <v>2262</v>
      </c>
      <c r="D291" s="16">
        <v>41761</v>
      </c>
      <c r="E291" s="9" t="s">
        <v>90</v>
      </c>
      <c r="F291" s="9" t="s">
        <v>91</v>
      </c>
      <c r="G291" s="9" t="s">
        <v>63</v>
      </c>
      <c r="H291" s="9" t="s">
        <v>46</v>
      </c>
    </row>
    <row r="292" spans="1:8" x14ac:dyDescent="0.35">
      <c r="A292" s="9" t="s">
        <v>8</v>
      </c>
      <c r="B292" s="9" t="s">
        <v>19</v>
      </c>
      <c r="C292" s="10">
        <v>5600</v>
      </c>
      <c r="D292" s="16">
        <v>41761</v>
      </c>
      <c r="E292" s="9" t="s">
        <v>104</v>
      </c>
      <c r="F292" s="9" t="s">
        <v>57</v>
      </c>
      <c r="G292" s="9" t="s">
        <v>41</v>
      </c>
      <c r="H292" s="9" t="s">
        <v>34</v>
      </c>
    </row>
    <row r="293" spans="1:8" x14ac:dyDescent="0.35">
      <c r="A293" s="9" t="s">
        <v>5</v>
      </c>
      <c r="B293" s="9" t="s">
        <v>18</v>
      </c>
      <c r="C293" s="10">
        <v>5787</v>
      </c>
      <c r="D293" s="16">
        <v>41762</v>
      </c>
      <c r="E293" s="9" t="s">
        <v>68</v>
      </c>
      <c r="F293" s="9" t="s">
        <v>69</v>
      </c>
      <c r="G293" s="9" t="s">
        <v>41</v>
      </c>
      <c r="H293" s="9" t="s">
        <v>29</v>
      </c>
    </row>
    <row r="294" spans="1:8" x14ac:dyDescent="0.35">
      <c r="A294" s="9" t="s">
        <v>9</v>
      </c>
      <c r="B294" s="9" t="s">
        <v>18</v>
      </c>
      <c r="C294" s="10">
        <v>6295</v>
      </c>
      <c r="D294" s="16">
        <v>41762</v>
      </c>
      <c r="E294" s="9" t="s">
        <v>51</v>
      </c>
      <c r="F294" s="9" t="s">
        <v>52</v>
      </c>
      <c r="G294" s="9" t="s">
        <v>53</v>
      </c>
      <c r="H294" s="9" t="s">
        <v>34</v>
      </c>
    </row>
    <row r="295" spans="1:8" x14ac:dyDescent="0.35">
      <c r="A295" s="9" t="s">
        <v>5</v>
      </c>
      <c r="B295" s="9" t="s">
        <v>18</v>
      </c>
      <c r="C295" s="10">
        <v>474</v>
      </c>
      <c r="D295" s="16">
        <v>41764</v>
      </c>
      <c r="E295" s="9" t="s">
        <v>105</v>
      </c>
      <c r="F295" s="9" t="s">
        <v>50</v>
      </c>
      <c r="G295" s="9" t="s">
        <v>41</v>
      </c>
      <c r="H295" s="9" t="s">
        <v>34</v>
      </c>
    </row>
    <row r="296" spans="1:8" x14ac:dyDescent="0.35">
      <c r="A296" s="9" t="s">
        <v>10</v>
      </c>
      <c r="B296" s="9" t="s">
        <v>18</v>
      </c>
      <c r="C296" s="10">
        <v>10000</v>
      </c>
      <c r="D296" s="16">
        <v>41764</v>
      </c>
      <c r="E296" s="9" t="s">
        <v>106</v>
      </c>
      <c r="F296" s="9" t="s">
        <v>78</v>
      </c>
      <c r="G296" s="9" t="s">
        <v>45</v>
      </c>
      <c r="H296" s="9" t="s">
        <v>29</v>
      </c>
    </row>
    <row r="297" spans="1:8" x14ac:dyDescent="0.35">
      <c r="A297" s="9" t="s">
        <v>5</v>
      </c>
      <c r="B297" s="9" t="s">
        <v>18</v>
      </c>
      <c r="C297" s="10">
        <v>592</v>
      </c>
      <c r="D297" s="16">
        <v>41765</v>
      </c>
      <c r="E297" s="9" t="s">
        <v>13</v>
      </c>
      <c r="F297" s="9" t="s">
        <v>66</v>
      </c>
      <c r="G297" s="9" t="s">
        <v>28</v>
      </c>
      <c r="H297" s="9" t="s">
        <v>38</v>
      </c>
    </row>
    <row r="298" spans="1:8" x14ac:dyDescent="0.35">
      <c r="A298" s="9" t="s">
        <v>9</v>
      </c>
      <c r="B298" s="9" t="s">
        <v>18</v>
      </c>
      <c r="C298" s="10">
        <v>4330</v>
      </c>
      <c r="D298" s="16">
        <v>41767</v>
      </c>
      <c r="E298" s="9" t="s">
        <v>107</v>
      </c>
      <c r="F298" s="9" t="s">
        <v>99</v>
      </c>
      <c r="G298" s="9" t="s">
        <v>28</v>
      </c>
      <c r="H298" s="9" t="s">
        <v>46</v>
      </c>
    </row>
    <row r="299" spans="1:8" x14ac:dyDescent="0.35">
      <c r="A299" s="9" t="s">
        <v>5</v>
      </c>
      <c r="B299" s="9" t="s">
        <v>16</v>
      </c>
      <c r="C299" s="10">
        <v>9405</v>
      </c>
      <c r="D299" s="16">
        <v>41767</v>
      </c>
      <c r="E299" s="9" t="s">
        <v>108</v>
      </c>
      <c r="F299" s="9" t="s">
        <v>99</v>
      </c>
      <c r="G299" s="9" t="s">
        <v>28</v>
      </c>
      <c r="H299" s="9" t="s">
        <v>29</v>
      </c>
    </row>
    <row r="300" spans="1:8" x14ac:dyDescent="0.35">
      <c r="A300" s="9" t="s">
        <v>10</v>
      </c>
      <c r="B300" s="9" t="s">
        <v>18</v>
      </c>
      <c r="C300" s="10">
        <v>7671</v>
      </c>
      <c r="D300" s="16">
        <v>41767</v>
      </c>
      <c r="E300" s="9" t="s">
        <v>109</v>
      </c>
      <c r="F300" s="9" t="s">
        <v>50</v>
      </c>
      <c r="G300" s="9" t="s">
        <v>41</v>
      </c>
      <c r="H300" s="9" t="s">
        <v>42</v>
      </c>
    </row>
    <row r="301" spans="1:8" x14ac:dyDescent="0.35">
      <c r="A301" s="9" t="s">
        <v>7</v>
      </c>
      <c r="B301" s="9" t="s">
        <v>19</v>
      </c>
      <c r="C301" s="10">
        <v>5791</v>
      </c>
      <c r="D301" s="16">
        <v>41767</v>
      </c>
      <c r="E301" s="9" t="s">
        <v>43</v>
      </c>
      <c r="F301" s="9" t="s">
        <v>44</v>
      </c>
      <c r="G301" s="9" t="s">
        <v>45</v>
      </c>
      <c r="H301" s="9" t="s">
        <v>34</v>
      </c>
    </row>
    <row r="302" spans="1:8" x14ac:dyDescent="0.35">
      <c r="A302" s="9" t="s">
        <v>5</v>
      </c>
      <c r="B302" s="9" t="s">
        <v>18</v>
      </c>
      <c r="C302" s="10">
        <v>6007</v>
      </c>
      <c r="D302" s="16">
        <v>41771</v>
      </c>
      <c r="E302" s="9" t="s">
        <v>110</v>
      </c>
      <c r="F302" s="9" t="s">
        <v>50</v>
      </c>
      <c r="G302" s="9" t="s">
        <v>41</v>
      </c>
      <c r="H302" s="9" t="s">
        <v>29</v>
      </c>
    </row>
    <row r="303" spans="1:8" x14ac:dyDescent="0.35">
      <c r="A303" s="9" t="s">
        <v>5</v>
      </c>
      <c r="B303" s="9" t="s">
        <v>18</v>
      </c>
      <c r="C303" s="10">
        <v>5030</v>
      </c>
      <c r="D303" s="16">
        <v>41773</v>
      </c>
      <c r="E303" s="9" t="s">
        <v>58</v>
      </c>
      <c r="F303" s="9" t="s">
        <v>57</v>
      </c>
      <c r="G303" s="9" t="s">
        <v>41</v>
      </c>
      <c r="H303" s="9" t="s">
        <v>42</v>
      </c>
    </row>
    <row r="304" spans="1:8" x14ac:dyDescent="0.35">
      <c r="A304" s="9" t="s">
        <v>7</v>
      </c>
      <c r="B304" s="9" t="s">
        <v>15</v>
      </c>
      <c r="C304" s="10">
        <v>6763</v>
      </c>
      <c r="D304" s="16">
        <v>41773</v>
      </c>
      <c r="E304" s="9" t="s">
        <v>54</v>
      </c>
      <c r="F304" s="9" t="s">
        <v>50</v>
      </c>
      <c r="G304" s="9" t="s">
        <v>41</v>
      </c>
      <c r="H304" s="9" t="s">
        <v>42</v>
      </c>
    </row>
    <row r="305" spans="1:8" x14ac:dyDescent="0.35">
      <c r="A305" s="9" t="s">
        <v>5</v>
      </c>
      <c r="B305" s="9" t="s">
        <v>18</v>
      </c>
      <c r="C305" s="10">
        <v>4248</v>
      </c>
      <c r="D305" s="16">
        <v>41774</v>
      </c>
      <c r="E305" s="9" t="s">
        <v>111</v>
      </c>
      <c r="F305" s="9" t="s">
        <v>50</v>
      </c>
      <c r="G305" s="9" t="s">
        <v>41</v>
      </c>
      <c r="H305" s="9" t="s">
        <v>29</v>
      </c>
    </row>
    <row r="306" spans="1:8" x14ac:dyDescent="0.35">
      <c r="A306" s="9" t="s">
        <v>5</v>
      </c>
      <c r="B306" s="9" t="s">
        <v>18</v>
      </c>
      <c r="C306" s="10">
        <v>9543</v>
      </c>
      <c r="D306" s="16">
        <v>41775</v>
      </c>
      <c r="E306" s="9" t="s">
        <v>112</v>
      </c>
      <c r="F306" s="9" t="s">
        <v>31</v>
      </c>
      <c r="G306" s="9" t="s">
        <v>28</v>
      </c>
      <c r="H306" s="9" t="s">
        <v>29</v>
      </c>
    </row>
    <row r="307" spans="1:8" x14ac:dyDescent="0.35">
      <c r="A307" s="9" t="s">
        <v>4</v>
      </c>
      <c r="B307" s="9" t="s">
        <v>18</v>
      </c>
      <c r="C307" s="10">
        <v>2054</v>
      </c>
      <c r="D307" s="16">
        <v>41775</v>
      </c>
      <c r="E307" s="9" t="s">
        <v>113</v>
      </c>
      <c r="F307" s="9" t="s">
        <v>69</v>
      </c>
      <c r="G307" s="9" t="s">
        <v>41</v>
      </c>
      <c r="H307" s="9" t="s">
        <v>38</v>
      </c>
    </row>
    <row r="308" spans="1:8" x14ac:dyDescent="0.35">
      <c r="A308" s="9" t="s">
        <v>6</v>
      </c>
      <c r="B308" s="9" t="s">
        <v>18</v>
      </c>
      <c r="C308" s="10">
        <v>7094</v>
      </c>
      <c r="D308" s="16">
        <v>41775</v>
      </c>
      <c r="E308" s="9" t="s">
        <v>114</v>
      </c>
      <c r="F308" s="9" t="s">
        <v>40</v>
      </c>
      <c r="G308" s="9" t="s">
        <v>41</v>
      </c>
      <c r="H308" s="9" t="s">
        <v>46</v>
      </c>
    </row>
    <row r="309" spans="1:8" x14ac:dyDescent="0.35">
      <c r="A309" s="9" t="s">
        <v>7</v>
      </c>
      <c r="B309" s="9" t="s">
        <v>18</v>
      </c>
      <c r="C309" s="10">
        <v>6087</v>
      </c>
      <c r="D309" s="16">
        <v>41777</v>
      </c>
      <c r="E309" s="9" t="s">
        <v>64</v>
      </c>
      <c r="F309" s="9" t="s">
        <v>57</v>
      </c>
      <c r="G309" s="9" t="s">
        <v>41</v>
      </c>
      <c r="H309" s="9" t="s">
        <v>46</v>
      </c>
    </row>
    <row r="310" spans="1:8" x14ac:dyDescent="0.35">
      <c r="A310" s="9" t="s">
        <v>10</v>
      </c>
      <c r="B310" s="9" t="s">
        <v>18</v>
      </c>
      <c r="C310" s="10">
        <v>4264</v>
      </c>
      <c r="D310" s="16">
        <v>41778</v>
      </c>
      <c r="E310" s="9" t="s">
        <v>115</v>
      </c>
      <c r="F310" s="9" t="s">
        <v>69</v>
      </c>
      <c r="G310" s="9" t="s">
        <v>41</v>
      </c>
      <c r="H310" s="9" t="s">
        <v>46</v>
      </c>
    </row>
    <row r="311" spans="1:8" x14ac:dyDescent="0.35">
      <c r="A311" s="9" t="s">
        <v>8</v>
      </c>
      <c r="B311" s="9" t="s">
        <v>15</v>
      </c>
      <c r="C311" s="10">
        <v>9333</v>
      </c>
      <c r="D311" s="16">
        <v>41779</v>
      </c>
      <c r="E311" s="9" t="s">
        <v>49</v>
      </c>
      <c r="F311" s="9" t="s">
        <v>50</v>
      </c>
      <c r="G311" s="9" t="s">
        <v>41</v>
      </c>
      <c r="H311" s="9" t="s">
        <v>34</v>
      </c>
    </row>
    <row r="312" spans="1:8" x14ac:dyDescent="0.35">
      <c r="A312" s="9" t="s">
        <v>8</v>
      </c>
      <c r="B312" s="9" t="s">
        <v>18</v>
      </c>
      <c r="C312" s="10">
        <v>8775</v>
      </c>
      <c r="D312" s="16">
        <v>41781</v>
      </c>
      <c r="E312" s="9" t="s">
        <v>116</v>
      </c>
      <c r="F312" s="9" t="s">
        <v>57</v>
      </c>
      <c r="G312" s="9" t="s">
        <v>41</v>
      </c>
      <c r="H312" s="9" t="s">
        <v>29</v>
      </c>
    </row>
    <row r="313" spans="1:8" x14ac:dyDescent="0.35">
      <c r="A313" s="9" t="s">
        <v>4</v>
      </c>
      <c r="B313" s="9" t="s">
        <v>16</v>
      </c>
      <c r="C313" s="10">
        <v>2011</v>
      </c>
      <c r="D313" s="16">
        <v>41782</v>
      </c>
      <c r="E313" s="9" t="s">
        <v>51</v>
      </c>
      <c r="F313" s="9" t="s">
        <v>52</v>
      </c>
      <c r="G313" s="9" t="s">
        <v>53</v>
      </c>
      <c r="H313" s="9" t="s">
        <v>34</v>
      </c>
    </row>
    <row r="314" spans="1:8" x14ac:dyDescent="0.35">
      <c r="A314" s="9" t="s">
        <v>5</v>
      </c>
      <c r="B314" s="9" t="s">
        <v>18</v>
      </c>
      <c r="C314" s="10">
        <v>5632</v>
      </c>
      <c r="D314" s="16">
        <v>41784</v>
      </c>
      <c r="E314" s="9" t="s">
        <v>117</v>
      </c>
      <c r="F314" s="9" t="s">
        <v>57</v>
      </c>
      <c r="G314" s="9" t="s">
        <v>41</v>
      </c>
      <c r="H314" s="9" t="s">
        <v>34</v>
      </c>
    </row>
    <row r="315" spans="1:8" x14ac:dyDescent="0.35">
      <c r="A315" s="9" t="s">
        <v>6</v>
      </c>
      <c r="B315" s="9" t="s">
        <v>18</v>
      </c>
      <c r="C315" s="10">
        <v>1002</v>
      </c>
      <c r="D315" s="16">
        <v>41784</v>
      </c>
      <c r="E315" s="9" t="s">
        <v>65</v>
      </c>
      <c r="F315" s="9" t="s">
        <v>66</v>
      </c>
      <c r="G315" s="9" t="s">
        <v>28</v>
      </c>
      <c r="H315" s="9" t="s">
        <v>29</v>
      </c>
    </row>
    <row r="316" spans="1:8" x14ac:dyDescent="0.35">
      <c r="A316" s="9" t="s">
        <v>9</v>
      </c>
      <c r="B316" s="9" t="s">
        <v>18</v>
      </c>
      <c r="C316" s="10">
        <v>8141</v>
      </c>
      <c r="D316" s="16">
        <v>41785</v>
      </c>
      <c r="E316" s="9" t="s">
        <v>118</v>
      </c>
      <c r="F316" s="9" t="s">
        <v>57</v>
      </c>
      <c r="G316" s="9" t="s">
        <v>41</v>
      </c>
      <c r="H316" s="9" t="s">
        <v>38</v>
      </c>
    </row>
    <row r="317" spans="1:8" x14ac:dyDescent="0.35">
      <c r="A317" s="9" t="s">
        <v>9</v>
      </c>
      <c r="B317" s="9" t="s">
        <v>18</v>
      </c>
      <c r="C317" s="10">
        <v>3644</v>
      </c>
      <c r="D317" s="16">
        <v>41785</v>
      </c>
      <c r="E317" s="9" t="s">
        <v>74</v>
      </c>
      <c r="F317" s="9" t="s">
        <v>36</v>
      </c>
      <c r="G317" s="9" t="s">
        <v>37</v>
      </c>
      <c r="H317" s="9" t="s">
        <v>46</v>
      </c>
    </row>
    <row r="318" spans="1:8" x14ac:dyDescent="0.35">
      <c r="A318" s="9" t="s">
        <v>9</v>
      </c>
      <c r="B318" s="9" t="s">
        <v>18</v>
      </c>
      <c r="C318" s="10">
        <v>1380</v>
      </c>
      <c r="D318" s="16">
        <v>41785</v>
      </c>
      <c r="E318" s="9" t="s">
        <v>119</v>
      </c>
      <c r="F318" s="9" t="s">
        <v>120</v>
      </c>
      <c r="G318" s="9" t="s">
        <v>41</v>
      </c>
      <c r="H318" s="9" t="s">
        <v>29</v>
      </c>
    </row>
    <row r="319" spans="1:8" x14ac:dyDescent="0.35">
      <c r="A319" s="9" t="s">
        <v>4</v>
      </c>
      <c r="B319" s="9" t="s">
        <v>16</v>
      </c>
      <c r="C319" s="10">
        <v>8354</v>
      </c>
      <c r="D319" s="16">
        <v>41785</v>
      </c>
      <c r="E319" s="9" t="s">
        <v>87</v>
      </c>
      <c r="F319" s="9" t="s">
        <v>52</v>
      </c>
      <c r="G319" s="9" t="s">
        <v>53</v>
      </c>
      <c r="H319" s="9" t="s">
        <v>42</v>
      </c>
    </row>
    <row r="320" spans="1:8" x14ac:dyDescent="0.35">
      <c r="A320" s="9" t="s">
        <v>5</v>
      </c>
      <c r="B320" s="9" t="s">
        <v>16</v>
      </c>
      <c r="C320" s="10">
        <v>5182</v>
      </c>
      <c r="D320" s="16">
        <v>41786</v>
      </c>
      <c r="E320" s="9" t="s">
        <v>121</v>
      </c>
      <c r="F320" s="9" t="s">
        <v>122</v>
      </c>
      <c r="G320" s="9" t="s">
        <v>37</v>
      </c>
      <c r="H320" s="9" t="s">
        <v>34</v>
      </c>
    </row>
    <row r="321" spans="1:8" x14ac:dyDescent="0.35">
      <c r="A321" s="9" t="s">
        <v>10</v>
      </c>
      <c r="B321" s="9" t="s">
        <v>18</v>
      </c>
      <c r="C321" s="10">
        <v>2193</v>
      </c>
      <c r="D321" s="16">
        <v>41786</v>
      </c>
      <c r="E321" s="9" t="s">
        <v>123</v>
      </c>
      <c r="F321" s="9" t="s">
        <v>84</v>
      </c>
      <c r="G321" s="9" t="s">
        <v>28</v>
      </c>
      <c r="H321" s="9" t="s">
        <v>29</v>
      </c>
    </row>
    <row r="322" spans="1:8" x14ac:dyDescent="0.35">
      <c r="A322" s="9" t="s">
        <v>8</v>
      </c>
      <c r="B322" s="9" t="s">
        <v>18</v>
      </c>
      <c r="C322" s="10">
        <v>3647</v>
      </c>
      <c r="D322" s="16">
        <v>41787</v>
      </c>
      <c r="E322" s="9" t="s">
        <v>124</v>
      </c>
      <c r="F322" s="9" t="s">
        <v>62</v>
      </c>
      <c r="G322" s="9" t="s">
        <v>63</v>
      </c>
      <c r="H322" s="9" t="s">
        <v>42</v>
      </c>
    </row>
    <row r="323" spans="1:8" x14ac:dyDescent="0.35">
      <c r="A323" s="9" t="s">
        <v>10</v>
      </c>
      <c r="B323" s="9" t="s">
        <v>18</v>
      </c>
      <c r="C323" s="10">
        <v>4104</v>
      </c>
      <c r="D323" s="16">
        <v>41787</v>
      </c>
      <c r="E323" s="9" t="s">
        <v>125</v>
      </c>
      <c r="F323" s="9" t="s">
        <v>44</v>
      </c>
      <c r="G323" s="9" t="s">
        <v>45</v>
      </c>
      <c r="H323" s="9" t="s">
        <v>42</v>
      </c>
    </row>
    <row r="324" spans="1:8" x14ac:dyDescent="0.35">
      <c r="A324" s="9" t="s">
        <v>7</v>
      </c>
      <c r="B324" s="9" t="s">
        <v>18</v>
      </c>
      <c r="C324" s="10">
        <v>7457</v>
      </c>
      <c r="D324" s="16">
        <v>41787</v>
      </c>
      <c r="E324" s="9" t="s">
        <v>126</v>
      </c>
      <c r="F324" s="9" t="s">
        <v>31</v>
      </c>
      <c r="G324" s="9" t="s">
        <v>28</v>
      </c>
      <c r="H324" s="9" t="s">
        <v>29</v>
      </c>
    </row>
    <row r="325" spans="1:8" x14ac:dyDescent="0.35">
      <c r="A325" s="9" t="s">
        <v>8</v>
      </c>
      <c r="B325" s="9" t="s">
        <v>18</v>
      </c>
      <c r="C325" s="10">
        <v>3767</v>
      </c>
      <c r="D325" s="16">
        <v>41788</v>
      </c>
      <c r="E325" s="9" t="s">
        <v>115</v>
      </c>
      <c r="F325" s="9" t="s">
        <v>69</v>
      </c>
      <c r="G325" s="9" t="s">
        <v>41</v>
      </c>
      <c r="H325" s="9" t="s">
        <v>29</v>
      </c>
    </row>
    <row r="326" spans="1:8" x14ac:dyDescent="0.35">
      <c r="A326" s="9" t="s">
        <v>4</v>
      </c>
      <c r="B326" s="9" t="s">
        <v>18</v>
      </c>
      <c r="C326" s="10">
        <v>4685</v>
      </c>
      <c r="D326" s="16">
        <v>41789</v>
      </c>
      <c r="E326" s="9" t="s">
        <v>95</v>
      </c>
      <c r="F326" s="9" t="s">
        <v>36</v>
      </c>
      <c r="G326" s="9" t="s">
        <v>37</v>
      </c>
      <c r="H326" s="9" t="s">
        <v>38</v>
      </c>
    </row>
    <row r="327" spans="1:8" x14ac:dyDescent="0.35">
      <c r="A327" s="9" t="s">
        <v>5</v>
      </c>
      <c r="B327" s="9" t="s">
        <v>16</v>
      </c>
      <c r="C327" s="10">
        <v>3917</v>
      </c>
      <c r="D327" s="16">
        <v>41794</v>
      </c>
      <c r="E327" s="9" t="s">
        <v>127</v>
      </c>
      <c r="F327" s="9" t="s">
        <v>128</v>
      </c>
      <c r="G327" s="9" t="s">
        <v>28</v>
      </c>
      <c r="H327" s="9" t="s">
        <v>46</v>
      </c>
    </row>
    <row r="328" spans="1:8" x14ac:dyDescent="0.35">
      <c r="A328" s="9" t="s">
        <v>10</v>
      </c>
      <c r="B328" s="9" t="s">
        <v>18</v>
      </c>
      <c r="C328" s="10">
        <v>521</v>
      </c>
      <c r="D328" s="16">
        <v>41794</v>
      </c>
      <c r="E328" s="9" t="s">
        <v>129</v>
      </c>
      <c r="F328" s="9" t="s">
        <v>44</v>
      </c>
      <c r="G328" s="9" t="s">
        <v>45</v>
      </c>
      <c r="H328" s="9" t="s">
        <v>46</v>
      </c>
    </row>
    <row r="329" spans="1:8" x14ac:dyDescent="0.35">
      <c r="A329" s="9" t="s">
        <v>10</v>
      </c>
      <c r="B329" s="9" t="s">
        <v>18</v>
      </c>
      <c r="C329" s="10">
        <v>5605</v>
      </c>
      <c r="D329" s="16">
        <v>41800</v>
      </c>
      <c r="E329" s="9" t="s">
        <v>130</v>
      </c>
      <c r="F329" s="9" t="s">
        <v>69</v>
      </c>
      <c r="G329" s="9" t="s">
        <v>41</v>
      </c>
      <c r="H329" s="9" t="s">
        <v>46</v>
      </c>
    </row>
    <row r="330" spans="1:8" x14ac:dyDescent="0.35">
      <c r="A330" s="9" t="s">
        <v>4</v>
      </c>
      <c r="B330" s="9" t="s">
        <v>18</v>
      </c>
      <c r="C330" s="10">
        <v>9630</v>
      </c>
      <c r="D330" s="16">
        <v>41801</v>
      </c>
      <c r="E330" s="9" t="s">
        <v>131</v>
      </c>
      <c r="F330" s="9" t="s">
        <v>50</v>
      </c>
      <c r="G330" s="9" t="s">
        <v>41</v>
      </c>
      <c r="H330" s="9" t="s">
        <v>34</v>
      </c>
    </row>
    <row r="331" spans="1:8" x14ac:dyDescent="0.35">
      <c r="A331" s="9" t="s">
        <v>5</v>
      </c>
      <c r="B331" s="9" t="s">
        <v>18</v>
      </c>
      <c r="C331" s="10">
        <v>6941</v>
      </c>
      <c r="D331" s="16">
        <v>41810</v>
      </c>
      <c r="E331" s="9" t="s">
        <v>88</v>
      </c>
      <c r="F331" s="9" t="s">
        <v>48</v>
      </c>
      <c r="G331" s="9" t="s">
        <v>37</v>
      </c>
      <c r="H331" s="9" t="s">
        <v>29</v>
      </c>
    </row>
    <row r="332" spans="1:8" x14ac:dyDescent="0.35">
      <c r="A332" s="9" t="s">
        <v>4</v>
      </c>
      <c r="B332" s="9" t="s">
        <v>15</v>
      </c>
      <c r="C332" s="10">
        <v>7231</v>
      </c>
      <c r="D332" s="16">
        <v>41810</v>
      </c>
      <c r="E332" s="9" t="s">
        <v>132</v>
      </c>
      <c r="F332" s="9" t="s">
        <v>50</v>
      </c>
      <c r="G332" s="9" t="s">
        <v>41</v>
      </c>
      <c r="H332" s="9" t="s">
        <v>34</v>
      </c>
    </row>
    <row r="333" spans="1:8" x14ac:dyDescent="0.35">
      <c r="A333" s="9" t="s">
        <v>4</v>
      </c>
      <c r="B333" s="9" t="s">
        <v>18</v>
      </c>
      <c r="C333" s="10">
        <v>8891</v>
      </c>
      <c r="D333" s="16">
        <v>41813</v>
      </c>
      <c r="E333" s="9" t="s">
        <v>133</v>
      </c>
      <c r="F333" s="9" t="s">
        <v>134</v>
      </c>
      <c r="G333" s="9" t="s">
        <v>63</v>
      </c>
      <c r="H333" s="9" t="s">
        <v>34</v>
      </c>
    </row>
    <row r="334" spans="1:8" x14ac:dyDescent="0.35">
      <c r="A334" s="9" t="s">
        <v>5</v>
      </c>
      <c r="B334" s="9" t="s">
        <v>16</v>
      </c>
      <c r="C334" s="10">
        <v>107</v>
      </c>
      <c r="D334" s="16">
        <v>41815</v>
      </c>
      <c r="E334" s="9" t="s">
        <v>104</v>
      </c>
      <c r="F334" s="9" t="s">
        <v>57</v>
      </c>
      <c r="G334" s="9" t="s">
        <v>41</v>
      </c>
      <c r="H334" s="9" t="s">
        <v>29</v>
      </c>
    </row>
    <row r="335" spans="1:8" x14ac:dyDescent="0.35">
      <c r="A335" s="9" t="s">
        <v>5</v>
      </c>
      <c r="B335" s="9" t="s">
        <v>16</v>
      </c>
      <c r="C335" s="10">
        <v>4243</v>
      </c>
      <c r="D335" s="16">
        <v>41816</v>
      </c>
      <c r="E335" s="9" t="s">
        <v>135</v>
      </c>
      <c r="F335" s="9" t="s">
        <v>50</v>
      </c>
      <c r="G335" s="9" t="s">
        <v>41</v>
      </c>
      <c r="H335" s="9" t="s">
        <v>38</v>
      </c>
    </row>
    <row r="336" spans="1:8" x14ac:dyDescent="0.35">
      <c r="A336" s="9" t="s">
        <v>9</v>
      </c>
      <c r="B336" s="9" t="s">
        <v>18</v>
      </c>
      <c r="C336" s="10">
        <v>4514</v>
      </c>
      <c r="D336" s="16">
        <v>41817</v>
      </c>
      <c r="E336" s="9" t="s">
        <v>136</v>
      </c>
      <c r="F336" s="9" t="s">
        <v>36</v>
      </c>
      <c r="G336" s="9" t="s">
        <v>37</v>
      </c>
      <c r="H336" s="9" t="s">
        <v>46</v>
      </c>
    </row>
    <row r="337" spans="1:8" x14ac:dyDescent="0.35">
      <c r="A337" s="9" t="s">
        <v>8</v>
      </c>
      <c r="B337" s="9" t="s">
        <v>18</v>
      </c>
      <c r="C337" s="10">
        <v>5480</v>
      </c>
      <c r="D337" s="16">
        <v>41822</v>
      </c>
      <c r="E337" s="9" t="s">
        <v>61</v>
      </c>
      <c r="F337" s="9" t="s">
        <v>62</v>
      </c>
      <c r="G337" s="9" t="s">
        <v>63</v>
      </c>
      <c r="H337" s="9" t="s">
        <v>29</v>
      </c>
    </row>
    <row r="338" spans="1:8" x14ac:dyDescent="0.35">
      <c r="A338" s="9" t="s">
        <v>5</v>
      </c>
      <c r="B338" s="9" t="s">
        <v>18</v>
      </c>
      <c r="C338" s="10">
        <v>5002</v>
      </c>
      <c r="D338" s="16">
        <v>41822</v>
      </c>
      <c r="E338" s="9" t="s">
        <v>30</v>
      </c>
      <c r="F338" s="9" t="s">
        <v>31</v>
      </c>
      <c r="G338" s="9" t="s">
        <v>28</v>
      </c>
      <c r="H338" s="9" t="s">
        <v>42</v>
      </c>
    </row>
    <row r="339" spans="1:8" x14ac:dyDescent="0.35">
      <c r="A339" s="9" t="s">
        <v>5</v>
      </c>
      <c r="B339" s="9" t="s">
        <v>18</v>
      </c>
      <c r="C339" s="10">
        <v>8530</v>
      </c>
      <c r="D339" s="16">
        <v>41825</v>
      </c>
      <c r="E339" s="9" t="s">
        <v>98</v>
      </c>
      <c r="F339" s="9" t="s">
        <v>99</v>
      </c>
      <c r="G339" s="9" t="s">
        <v>28</v>
      </c>
      <c r="H339" s="9" t="s">
        <v>34</v>
      </c>
    </row>
    <row r="340" spans="1:8" x14ac:dyDescent="0.35">
      <c r="A340" s="9" t="s">
        <v>4</v>
      </c>
      <c r="B340" s="9" t="s">
        <v>18</v>
      </c>
      <c r="C340" s="10">
        <v>6343</v>
      </c>
      <c r="D340" s="16">
        <v>41831</v>
      </c>
      <c r="E340" s="9" t="s">
        <v>137</v>
      </c>
      <c r="F340" s="9" t="s">
        <v>50</v>
      </c>
      <c r="G340" s="9" t="s">
        <v>41</v>
      </c>
      <c r="H340" s="9" t="s">
        <v>29</v>
      </c>
    </row>
    <row r="341" spans="1:8" x14ac:dyDescent="0.35">
      <c r="A341" s="9" t="s">
        <v>9</v>
      </c>
      <c r="B341" s="9" t="s">
        <v>15</v>
      </c>
      <c r="C341" s="10">
        <v>2318</v>
      </c>
      <c r="D341" s="16">
        <v>41833</v>
      </c>
      <c r="E341" s="9" t="s">
        <v>138</v>
      </c>
      <c r="F341" s="9" t="s">
        <v>50</v>
      </c>
      <c r="G341" s="9" t="s">
        <v>41</v>
      </c>
      <c r="H341" s="9" t="s">
        <v>42</v>
      </c>
    </row>
    <row r="342" spans="1:8" x14ac:dyDescent="0.35">
      <c r="A342" s="9" t="s">
        <v>9</v>
      </c>
      <c r="B342" s="9" t="s">
        <v>18</v>
      </c>
      <c r="C342" s="10">
        <v>220</v>
      </c>
      <c r="D342" s="16">
        <v>41840</v>
      </c>
      <c r="E342" s="9" t="s">
        <v>139</v>
      </c>
      <c r="F342" s="9" t="s">
        <v>48</v>
      </c>
      <c r="G342" s="9" t="s">
        <v>37</v>
      </c>
      <c r="H342" s="9" t="s">
        <v>42</v>
      </c>
    </row>
    <row r="343" spans="1:8" x14ac:dyDescent="0.35">
      <c r="A343" s="9" t="s">
        <v>10</v>
      </c>
      <c r="B343" s="9" t="s">
        <v>18</v>
      </c>
      <c r="C343" s="10">
        <v>330</v>
      </c>
      <c r="D343" s="16">
        <v>41840</v>
      </c>
      <c r="E343" s="9" t="s">
        <v>140</v>
      </c>
      <c r="F343" s="9" t="s">
        <v>50</v>
      </c>
      <c r="G343" s="9" t="s">
        <v>41</v>
      </c>
      <c r="H343" s="9" t="s">
        <v>29</v>
      </c>
    </row>
    <row r="344" spans="1:8" x14ac:dyDescent="0.35">
      <c r="A344" s="9" t="s">
        <v>4</v>
      </c>
      <c r="B344" s="9" t="s">
        <v>18</v>
      </c>
      <c r="C344" s="10">
        <v>3027</v>
      </c>
      <c r="D344" s="16">
        <v>41840</v>
      </c>
      <c r="E344" s="9" t="s">
        <v>141</v>
      </c>
      <c r="F344" s="9" t="s">
        <v>44</v>
      </c>
      <c r="G344" s="9" t="s">
        <v>45</v>
      </c>
      <c r="H344" s="9" t="s">
        <v>29</v>
      </c>
    </row>
    <row r="345" spans="1:8" x14ac:dyDescent="0.35">
      <c r="A345" s="9" t="s">
        <v>5</v>
      </c>
      <c r="B345" s="9" t="s">
        <v>18</v>
      </c>
      <c r="C345" s="10">
        <v>8986</v>
      </c>
      <c r="D345" s="16">
        <v>41843</v>
      </c>
      <c r="E345" s="9" t="s">
        <v>142</v>
      </c>
      <c r="F345" s="9" t="s">
        <v>50</v>
      </c>
      <c r="G345" s="9" t="s">
        <v>41</v>
      </c>
      <c r="H345" s="9" t="s">
        <v>38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31"/>
  <sheetViews>
    <sheetView topLeftCell="AB1" zoomScale="80" zoomScaleNormal="80" workbookViewId="0">
      <selection activeCell="AK20" sqref="AK20"/>
    </sheetView>
  </sheetViews>
  <sheetFormatPr defaultRowHeight="14.5" x14ac:dyDescent="0.35"/>
  <cols>
    <col min="1" max="1" width="14.08984375" customWidth="1"/>
    <col min="2" max="2" width="13.6328125" style="22" bestFit="1" customWidth="1"/>
    <col min="3" max="3" width="7.54296875" customWidth="1"/>
    <col min="4" max="4" width="13.36328125" customWidth="1"/>
    <col min="5" max="5" width="13.6328125" style="22" bestFit="1" customWidth="1"/>
    <col min="6" max="6" width="12.6328125" customWidth="1"/>
    <col min="7" max="7" width="13.36328125" customWidth="1"/>
    <col min="8" max="9" width="12.6328125" customWidth="1"/>
    <col min="10" max="10" width="13.36328125" customWidth="1"/>
    <col min="11" max="11" width="12.6328125" style="7" customWidth="1"/>
    <col min="13" max="13" width="13.36328125" customWidth="1"/>
    <col min="14" max="14" width="13.6328125" style="22" customWidth="1"/>
    <col min="15" max="15" width="12.6328125" style="22" customWidth="1"/>
    <col min="16" max="16" width="13.36328125" style="22" customWidth="1"/>
    <col min="17" max="17" width="12.6328125" style="22" customWidth="1"/>
    <col min="19" max="19" width="13.36328125" customWidth="1"/>
    <col min="20" max="20" width="13.6328125" style="22" customWidth="1"/>
    <col min="21" max="21" width="12.6328125" style="22" customWidth="1"/>
    <col min="22" max="22" width="13.36328125" style="22" customWidth="1"/>
    <col min="23" max="23" width="13.6328125" style="26" customWidth="1"/>
    <col min="25" max="25" width="13.36328125" customWidth="1"/>
    <col min="26" max="26" width="13.6328125" style="22" customWidth="1"/>
    <col min="28" max="28" width="16.26953125" customWidth="1"/>
    <col min="29" max="29" width="13.6328125" style="22" bestFit="1" customWidth="1"/>
    <col min="31" max="31" width="14.08984375" customWidth="1"/>
    <col min="32" max="32" width="13.6328125" style="22" bestFit="1" customWidth="1"/>
    <col min="34" max="34" width="13.36328125" customWidth="1"/>
    <col min="35" max="35" width="13.6328125" style="22" customWidth="1"/>
    <col min="37" max="37" width="13.36328125" bestFit="1" customWidth="1"/>
    <col min="38" max="38" width="13.6328125" style="22" bestFit="1" customWidth="1"/>
    <col min="40" max="40" width="13.36328125" bestFit="1" customWidth="1"/>
    <col min="41" max="41" width="13.6328125" style="22" bestFit="1" customWidth="1"/>
    <col min="43" max="44" width="13.6328125" bestFit="1" customWidth="1"/>
  </cols>
  <sheetData>
    <row r="1" spans="1:44" x14ac:dyDescent="0.35">
      <c r="A1" s="5" t="s">
        <v>2</v>
      </c>
      <c r="B1" s="24" t="s">
        <v>22</v>
      </c>
      <c r="D1" s="5" t="s">
        <v>2</v>
      </c>
      <c r="E1" s="24" t="s">
        <v>22</v>
      </c>
      <c r="G1" s="5" t="s">
        <v>2</v>
      </c>
      <c r="H1" t="s">
        <v>22</v>
      </c>
      <c r="J1" s="5" t="s">
        <v>2</v>
      </c>
      <c r="K1" s="7" t="s">
        <v>22</v>
      </c>
      <c r="M1" s="5" t="s">
        <v>2</v>
      </c>
      <c r="N1" s="24" t="s">
        <v>22</v>
      </c>
      <c r="P1" s="5" t="s">
        <v>2</v>
      </c>
      <c r="Q1" t="s">
        <v>22</v>
      </c>
      <c r="S1" s="5" t="s">
        <v>2</v>
      </c>
      <c r="T1" s="24" t="s">
        <v>22</v>
      </c>
      <c r="V1"/>
      <c r="W1" s="25"/>
      <c r="Y1" s="5" t="s">
        <v>2</v>
      </c>
      <c r="Z1" s="24" t="s">
        <v>22</v>
      </c>
      <c r="AB1" s="5" t="s">
        <v>2</v>
      </c>
      <c r="AC1" s="24" t="s">
        <v>22</v>
      </c>
      <c r="AE1" s="5" t="s">
        <v>2</v>
      </c>
      <c r="AF1" s="24" t="s">
        <v>22</v>
      </c>
      <c r="AI1"/>
      <c r="AK1" s="5" t="s">
        <v>2</v>
      </c>
      <c r="AL1" s="24" t="s">
        <v>22</v>
      </c>
      <c r="AN1" s="5" t="s">
        <v>2</v>
      </c>
      <c r="AO1" s="24" t="s">
        <v>22</v>
      </c>
      <c r="AQ1" s="24" t="s">
        <v>22</v>
      </c>
      <c r="AR1" t="s">
        <v>187</v>
      </c>
    </row>
    <row r="2" spans="1:44" x14ac:dyDescent="0.35">
      <c r="A2" s="6" t="s">
        <v>7</v>
      </c>
      <c r="B2" s="24">
        <v>271969</v>
      </c>
      <c r="D2" s="6" t="s">
        <v>184</v>
      </c>
      <c r="E2" s="24">
        <v>108113</v>
      </c>
      <c r="F2" s="7"/>
      <c r="G2" s="6" t="s">
        <v>184</v>
      </c>
      <c r="H2" s="23">
        <v>5.4008135714467692E-2</v>
      </c>
      <c r="I2" s="7"/>
      <c r="J2" s="6" t="s">
        <v>53</v>
      </c>
      <c r="K2" s="23">
        <v>3.5563652748963302E-2</v>
      </c>
      <c r="M2" s="6" t="s">
        <v>53</v>
      </c>
      <c r="N2" s="24">
        <v>71191</v>
      </c>
      <c r="P2" s="6" t="s">
        <v>46</v>
      </c>
      <c r="Q2" s="8">
        <v>0.32528695107141459</v>
      </c>
      <c r="S2" s="6" t="s">
        <v>32</v>
      </c>
      <c r="T2" s="24">
        <v>8239</v>
      </c>
      <c r="V2" s="6"/>
      <c r="W2" s="25"/>
      <c r="Y2" s="6" t="s">
        <v>40</v>
      </c>
      <c r="Z2" s="24">
        <v>67837</v>
      </c>
      <c r="AB2" s="6" t="s">
        <v>88</v>
      </c>
      <c r="AC2" s="24">
        <v>68419</v>
      </c>
      <c r="AE2" s="6" t="s">
        <v>5</v>
      </c>
      <c r="AF2" s="24">
        <v>623004</v>
      </c>
      <c r="AI2"/>
      <c r="AK2" s="6" t="s">
        <v>41</v>
      </c>
      <c r="AL2" s="24">
        <v>850741</v>
      </c>
      <c r="AN2" s="6" t="s">
        <v>29</v>
      </c>
      <c r="AO2" s="24">
        <v>635143</v>
      </c>
      <c r="AQ2" s="24">
        <v>2001791</v>
      </c>
      <c r="AR2" s="22">
        <v>1500000</v>
      </c>
    </row>
    <row r="3" spans="1:44" x14ac:dyDescent="0.35">
      <c r="A3" s="6" t="s">
        <v>6</v>
      </c>
      <c r="B3" s="24">
        <v>110936</v>
      </c>
      <c r="D3" s="6" t="s">
        <v>17</v>
      </c>
      <c r="E3" s="24">
        <v>23918</v>
      </c>
      <c r="F3" s="7"/>
      <c r="G3" s="6" t="s">
        <v>17</v>
      </c>
      <c r="H3" s="23">
        <v>1.1948300297083962E-2</v>
      </c>
      <c r="I3" s="7"/>
      <c r="J3" s="6" t="s">
        <v>45</v>
      </c>
      <c r="K3" s="23">
        <v>0.11645921077674942</v>
      </c>
      <c r="M3" s="6" t="s">
        <v>45</v>
      </c>
      <c r="N3" s="24">
        <v>233127</v>
      </c>
      <c r="P3" s="6" t="s">
        <v>29</v>
      </c>
      <c r="Q3" s="8">
        <v>0.18724487797234302</v>
      </c>
      <c r="S3" s="6" t="s">
        <v>46</v>
      </c>
      <c r="T3" s="24">
        <v>371227</v>
      </c>
      <c r="V3" s="6"/>
      <c r="W3" s="25"/>
      <c r="Y3" s="6" t="s">
        <v>134</v>
      </c>
      <c r="Z3" s="24">
        <v>26673</v>
      </c>
      <c r="AB3" s="6" t="s">
        <v>56</v>
      </c>
      <c r="AC3" s="24">
        <v>45837</v>
      </c>
      <c r="AE3" s="6" t="s">
        <v>10</v>
      </c>
      <c r="AF3" s="24">
        <v>358409</v>
      </c>
      <c r="AH3" s="5" t="s">
        <v>2</v>
      </c>
      <c r="AI3" s="24" t="s">
        <v>22</v>
      </c>
      <c r="AK3" s="6" t="s">
        <v>37</v>
      </c>
      <c r="AL3" s="24">
        <v>366059</v>
      </c>
      <c r="AN3" s="6" t="s">
        <v>34</v>
      </c>
      <c r="AO3" s="24">
        <v>448517</v>
      </c>
    </row>
    <row r="4" spans="1:44" x14ac:dyDescent="0.35">
      <c r="A4" s="6" t="s">
        <v>5</v>
      </c>
      <c r="B4" s="24">
        <v>623004</v>
      </c>
      <c r="D4" s="6" t="s">
        <v>15</v>
      </c>
      <c r="E4" s="24">
        <v>168457</v>
      </c>
      <c r="F4" s="7"/>
      <c r="G4" s="6" t="s">
        <v>15</v>
      </c>
      <c r="H4" s="23">
        <v>8.4153140862357756E-2</v>
      </c>
      <c r="I4" s="7"/>
      <c r="J4" s="6" t="s">
        <v>28</v>
      </c>
      <c r="K4" s="23">
        <v>0.18006425246192034</v>
      </c>
      <c r="M4" s="6" t="s">
        <v>28</v>
      </c>
      <c r="N4" s="24">
        <v>360451</v>
      </c>
      <c r="P4" s="6" t="s">
        <v>34</v>
      </c>
      <c r="Q4" s="8">
        <v>0.18491009519332471</v>
      </c>
      <c r="S4" s="6" t="s">
        <v>29</v>
      </c>
      <c r="T4" s="24">
        <v>635143</v>
      </c>
      <c r="V4" s="6"/>
      <c r="W4" s="25"/>
      <c r="Y4" s="6" t="s">
        <v>62</v>
      </c>
      <c r="Z4" s="24">
        <v>49369</v>
      </c>
      <c r="AB4" s="6" t="s">
        <v>58</v>
      </c>
      <c r="AC4" s="24">
        <v>46914</v>
      </c>
      <c r="AE4" s="6" t="s">
        <v>4</v>
      </c>
      <c r="AF4" s="24">
        <v>278029</v>
      </c>
      <c r="AH4" s="6" t="s">
        <v>18</v>
      </c>
      <c r="AI4" s="24">
        <v>941090</v>
      </c>
      <c r="AK4" s="6" t="s">
        <v>28</v>
      </c>
      <c r="AL4" s="24">
        <v>360451</v>
      </c>
      <c r="AN4" s="6" t="s">
        <v>46</v>
      </c>
      <c r="AO4" s="24">
        <v>371227</v>
      </c>
    </row>
    <row r="5" spans="1:44" x14ac:dyDescent="0.35">
      <c r="A5" s="6" t="s">
        <v>9</v>
      </c>
      <c r="B5" s="24">
        <v>201819</v>
      </c>
      <c r="D5" s="6" t="s">
        <v>21</v>
      </c>
      <c r="E5" s="24">
        <v>122515</v>
      </c>
      <c r="F5" s="7"/>
      <c r="G5" s="6" t="s">
        <v>21</v>
      </c>
      <c r="H5" s="23">
        <v>6.1202692988428863E-2</v>
      </c>
      <c r="I5" s="7"/>
      <c r="J5" s="6" t="s">
        <v>63</v>
      </c>
      <c r="K5" s="23">
        <v>6.0057218760599884E-2</v>
      </c>
      <c r="M5" s="6" t="s">
        <v>63</v>
      </c>
      <c r="N5" s="24">
        <v>120222</v>
      </c>
      <c r="P5" s="6" t="s">
        <v>38</v>
      </c>
      <c r="Q5" s="8">
        <v>8.1934161214922765E-2</v>
      </c>
      <c r="S5" s="6" t="s">
        <v>34</v>
      </c>
      <c r="T5" s="24">
        <v>448517</v>
      </c>
      <c r="V5" s="6"/>
      <c r="W5" s="25"/>
      <c r="Y5" s="6" t="s">
        <v>82</v>
      </c>
      <c r="Z5" s="24">
        <v>17019</v>
      </c>
      <c r="AB5" s="6" t="s">
        <v>93</v>
      </c>
      <c r="AC5" s="24">
        <v>44199</v>
      </c>
      <c r="AE5" s="6" t="s">
        <v>7</v>
      </c>
      <c r="AF5" s="24">
        <v>271969</v>
      </c>
      <c r="AH5" s="6" t="s">
        <v>16</v>
      </c>
      <c r="AI5" s="24">
        <v>465014</v>
      </c>
      <c r="AK5" s="6" t="s">
        <v>45</v>
      </c>
      <c r="AL5" s="24">
        <v>233127</v>
      </c>
      <c r="AN5" s="6" t="s">
        <v>42</v>
      </c>
      <c r="AO5" s="24">
        <v>327622</v>
      </c>
    </row>
    <row r="6" spans="1:44" x14ac:dyDescent="0.35">
      <c r="A6" s="6" t="s">
        <v>4</v>
      </c>
      <c r="B6" s="24">
        <v>278029</v>
      </c>
      <c r="D6" s="6" t="s">
        <v>16</v>
      </c>
      <c r="E6" s="24">
        <v>465014</v>
      </c>
      <c r="F6" s="7"/>
      <c r="G6" s="6" t="s">
        <v>16</v>
      </c>
      <c r="H6" s="23">
        <v>0.23229897626675311</v>
      </c>
      <c r="I6" s="7"/>
      <c r="J6" s="6" t="s">
        <v>41</v>
      </c>
      <c r="K6" s="23">
        <v>0.42498992152527409</v>
      </c>
      <c r="M6" s="6" t="s">
        <v>41</v>
      </c>
      <c r="N6" s="24">
        <v>850741</v>
      </c>
      <c r="P6" s="6" t="s">
        <v>42</v>
      </c>
      <c r="Q6" s="8">
        <v>0.22062391454799493</v>
      </c>
      <c r="S6" s="6" t="s">
        <v>38</v>
      </c>
      <c r="T6" s="24">
        <v>211043</v>
      </c>
      <c r="V6" s="6"/>
      <c r="W6" s="25"/>
      <c r="Y6" s="6" t="s">
        <v>76</v>
      </c>
      <c r="Z6" s="24">
        <v>4120</v>
      </c>
      <c r="AB6" s="6" t="s">
        <v>54</v>
      </c>
      <c r="AC6" s="24">
        <v>62340</v>
      </c>
      <c r="AE6" s="6" t="s">
        <v>9</v>
      </c>
      <c r="AF6" s="24">
        <v>201819</v>
      </c>
      <c r="AH6" s="6" t="s">
        <v>15</v>
      </c>
      <c r="AI6" s="24">
        <v>168457</v>
      </c>
      <c r="AK6" s="6" t="s">
        <v>63</v>
      </c>
      <c r="AL6" s="24">
        <v>120222</v>
      </c>
      <c r="AN6" s="6" t="s">
        <v>38</v>
      </c>
      <c r="AO6" s="24">
        <v>211043</v>
      </c>
    </row>
    <row r="7" spans="1:44" x14ac:dyDescent="0.35">
      <c r="A7" s="6" t="s">
        <v>10</v>
      </c>
      <c r="B7" s="24">
        <v>358409</v>
      </c>
      <c r="D7" s="6" t="s">
        <v>183</v>
      </c>
      <c r="E7" s="24">
        <v>41414</v>
      </c>
      <c r="F7" s="7"/>
      <c r="G7" s="6" t="s">
        <v>183</v>
      </c>
      <c r="H7" s="23">
        <v>2.0688473472005819E-2</v>
      </c>
      <c r="I7" s="7"/>
      <c r="J7" s="6" t="s">
        <v>37</v>
      </c>
      <c r="K7" s="23">
        <v>0.18286574372649292</v>
      </c>
      <c r="M7" s="6" t="s">
        <v>37</v>
      </c>
      <c r="N7" s="24">
        <v>366059</v>
      </c>
      <c r="P7" s="6" t="s">
        <v>3</v>
      </c>
      <c r="Q7" s="8">
        <v>1</v>
      </c>
      <c r="S7" s="6" t="s">
        <v>42</v>
      </c>
      <c r="T7" s="24">
        <v>327622</v>
      </c>
      <c r="V7" s="6"/>
      <c r="W7" s="25"/>
      <c r="Y7" s="6" t="s">
        <v>86</v>
      </c>
      <c r="Z7" s="24">
        <v>18232</v>
      </c>
      <c r="AB7" s="6" t="s">
        <v>49</v>
      </c>
      <c r="AC7" s="24">
        <v>42585</v>
      </c>
      <c r="AE7" s="6" t="s">
        <v>8</v>
      </c>
      <c r="AF7" s="24">
        <v>157625</v>
      </c>
      <c r="AH7" s="6" t="s">
        <v>21</v>
      </c>
      <c r="AI7" s="24">
        <v>122515</v>
      </c>
      <c r="AK7" s="6" t="s">
        <v>53</v>
      </c>
      <c r="AL7" s="24">
        <v>71191</v>
      </c>
      <c r="AN7" s="6" t="s">
        <v>32</v>
      </c>
      <c r="AO7" s="24">
        <v>8239</v>
      </c>
    </row>
    <row r="8" spans="1:44" x14ac:dyDescent="0.35">
      <c r="A8" s="6" t="s">
        <v>8</v>
      </c>
      <c r="B8" s="24">
        <v>157625</v>
      </c>
      <c r="D8" s="6" t="s">
        <v>18</v>
      </c>
      <c r="E8" s="24">
        <v>941090</v>
      </c>
      <c r="F8" s="7"/>
      <c r="G8" s="6" t="s">
        <v>18</v>
      </c>
      <c r="H8" s="23">
        <v>0.4701240039544588</v>
      </c>
      <c r="I8" s="7"/>
      <c r="J8" s="6" t="s">
        <v>3</v>
      </c>
      <c r="K8" s="8">
        <v>1</v>
      </c>
      <c r="M8" s="6" t="s">
        <v>3</v>
      </c>
      <c r="N8" s="24">
        <v>2001791</v>
      </c>
      <c r="P8"/>
      <c r="Q8"/>
      <c r="S8" s="6" t="s">
        <v>3</v>
      </c>
      <c r="T8" s="24">
        <v>2001791</v>
      </c>
      <c r="V8" s="6"/>
      <c r="W8" s="25"/>
      <c r="Y8" s="6" t="s">
        <v>66</v>
      </c>
      <c r="Z8" s="24">
        <v>48524</v>
      </c>
      <c r="AB8" s="6" t="s">
        <v>30</v>
      </c>
      <c r="AC8" s="24">
        <v>60612</v>
      </c>
      <c r="AE8" s="6" t="s">
        <v>6</v>
      </c>
      <c r="AF8" s="24">
        <v>110936</v>
      </c>
      <c r="AH8" s="6" t="s">
        <v>184</v>
      </c>
      <c r="AI8" s="24">
        <v>108113</v>
      </c>
      <c r="AK8" s="6" t="s">
        <v>3</v>
      </c>
      <c r="AL8" s="24">
        <v>2001791</v>
      </c>
      <c r="AN8" s="6" t="s">
        <v>3</v>
      </c>
      <c r="AO8" s="24">
        <v>2001791</v>
      </c>
    </row>
    <row r="9" spans="1:44" x14ac:dyDescent="0.35">
      <c r="A9" s="6" t="s">
        <v>3</v>
      </c>
      <c r="B9" s="24">
        <v>2001791</v>
      </c>
      <c r="D9" s="6" t="s">
        <v>19</v>
      </c>
      <c r="E9" s="24">
        <v>67371</v>
      </c>
      <c r="F9" s="7"/>
      <c r="G9" s="6" t="s">
        <v>19</v>
      </c>
      <c r="H9" s="23">
        <v>3.3655361623666009E-2</v>
      </c>
      <c r="I9" s="7"/>
      <c r="J9" s="7"/>
      <c r="V9" s="6"/>
      <c r="W9" s="25"/>
      <c r="Y9" s="6" t="s">
        <v>122</v>
      </c>
      <c r="Z9" s="24">
        <v>21406</v>
      </c>
      <c r="AB9" s="6" t="s">
        <v>43</v>
      </c>
      <c r="AC9" s="24">
        <v>52889</v>
      </c>
      <c r="AE9" s="6" t="s">
        <v>3</v>
      </c>
      <c r="AF9" s="24">
        <v>2001791</v>
      </c>
      <c r="AH9" s="6" t="s">
        <v>19</v>
      </c>
      <c r="AI9" s="24">
        <v>67371</v>
      </c>
    </row>
    <row r="10" spans="1:44" x14ac:dyDescent="0.35">
      <c r="D10" s="6" t="s">
        <v>20</v>
      </c>
      <c r="E10" s="24">
        <v>63899</v>
      </c>
      <c r="F10" s="7"/>
      <c r="G10" s="6" t="s">
        <v>20</v>
      </c>
      <c r="H10" s="23">
        <v>3.1920914820777996E-2</v>
      </c>
      <c r="I10" s="7"/>
      <c r="J10" s="7"/>
      <c r="V10" s="6"/>
      <c r="W10" s="25"/>
      <c r="Y10" s="6" t="s">
        <v>48</v>
      </c>
      <c r="Z10" s="24">
        <v>122298</v>
      </c>
      <c r="AB10" s="6" t="s">
        <v>74</v>
      </c>
      <c r="AC10" s="24">
        <v>44723</v>
      </c>
      <c r="AH10" s="6" t="s">
        <v>20</v>
      </c>
      <c r="AI10" s="24">
        <v>63899</v>
      </c>
    </row>
    <row r="11" spans="1:44" x14ac:dyDescent="0.35">
      <c r="D11" s="6" t="s">
        <v>3</v>
      </c>
      <c r="E11" s="24">
        <v>2001791</v>
      </c>
      <c r="F11" s="7"/>
      <c r="G11" s="6" t="s">
        <v>3</v>
      </c>
      <c r="H11" s="23">
        <v>1</v>
      </c>
      <c r="I11" s="7"/>
      <c r="J11" s="7"/>
      <c r="V11" s="6"/>
      <c r="W11" s="25"/>
      <c r="Y11" s="6" t="s">
        <v>99</v>
      </c>
      <c r="Z11" s="24">
        <v>72690</v>
      </c>
      <c r="AB11" s="6" t="s">
        <v>65</v>
      </c>
      <c r="AC11" s="24">
        <v>45340</v>
      </c>
      <c r="AH11" s="6" t="s">
        <v>183</v>
      </c>
      <c r="AI11" s="24">
        <v>41414</v>
      </c>
    </row>
    <row r="12" spans="1:44" x14ac:dyDescent="0.35">
      <c r="V12" s="6"/>
      <c r="W12" s="25"/>
      <c r="Y12" s="6" t="s">
        <v>80</v>
      </c>
      <c r="Z12" s="24">
        <v>13018</v>
      </c>
      <c r="AB12" s="6" t="s">
        <v>3</v>
      </c>
      <c r="AC12" s="24">
        <v>513858</v>
      </c>
      <c r="AH12" s="6" t="s">
        <v>17</v>
      </c>
      <c r="AI12" s="24">
        <v>23918</v>
      </c>
    </row>
    <row r="13" spans="1:44" x14ac:dyDescent="0.35">
      <c r="V13" s="6"/>
      <c r="W13" s="25"/>
      <c r="Y13" s="6" t="s">
        <v>157</v>
      </c>
      <c r="Z13" s="24">
        <v>3861</v>
      </c>
      <c r="AH13" s="6" t="s">
        <v>3</v>
      </c>
      <c r="AI13" s="24">
        <v>2001791</v>
      </c>
    </row>
    <row r="14" spans="1:44" x14ac:dyDescent="0.35">
      <c r="V14" s="6"/>
      <c r="W14" s="25"/>
      <c r="Y14" s="6" t="s">
        <v>57</v>
      </c>
      <c r="Z14" s="24">
        <v>262475</v>
      </c>
    </row>
    <row r="15" spans="1:44" x14ac:dyDescent="0.35">
      <c r="V15" s="6"/>
      <c r="W15" s="25"/>
      <c r="Y15" s="6" t="s">
        <v>69</v>
      </c>
      <c r="Z15" s="24">
        <v>102549</v>
      </c>
    </row>
    <row r="16" spans="1:44" x14ac:dyDescent="0.35">
      <c r="V16" s="6"/>
      <c r="W16" s="25"/>
      <c r="Y16" s="6" t="s">
        <v>36</v>
      </c>
      <c r="Z16" s="24">
        <v>222355</v>
      </c>
      <c r="AE16" t="s">
        <v>186</v>
      </c>
      <c r="AF16" s="22" t="str">
        <f>AE2</f>
        <v xml:space="preserve">Home Loan </v>
      </c>
      <c r="AH16" t="s">
        <v>185</v>
      </c>
      <c r="AI16" s="22" t="str">
        <f>AH4</f>
        <v>Santosh</v>
      </c>
      <c r="AK16" t="s">
        <v>186</v>
      </c>
      <c r="AL16" s="22" t="str">
        <f>AK2</f>
        <v xml:space="preserve">South </v>
      </c>
      <c r="AN16" t="s">
        <v>186</v>
      </c>
      <c r="AO16" s="22" t="str">
        <f>AN2</f>
        <v xml:space="preserve">HDFC </v>
      </c>
      <c r="AQ16" t="s">
        <v>188</v>
      </c>
      <c r="AR16" s="22">
        <f>GETPIVOTDATA("Loans",$AQ$1)</f>
        <v>2001791</v>
      </c>
    </row>
    <row r="17" spans="22:26" x14ac:dyDescent="0.35">
      <c r="V17" s="6"/>
      <c r="W17" s="25"/>
      <c r="Y17" s="6" t="s">
        <v>148</v>
      </c>
      <c r="Z17" s="24">
        <v>9854</v>
      </c>
    </row>
    <row r="18" spans="22:26" x14ac:dyDescent="0.35">
      <c r="V18" s="6"/>
      <c r="W18" s="25"/>
      <c r="Y18" s="6" t="s">
        <v>52</v>
      </c>
      <c r="Z18" s="24">
        <v>67071</v>
      </c>
    </row>
    <row r="19" spans="22:26" x14ac:dyDescent="0.35">
      <c r="V19" s="6"/>
      <c r="W19" s="25"/>
      <c r="Y19" s="6" t="s">
        <v>103</v>
      </c>
      <c r="Z19" s="24">
        <v>15796</v>
      </c>
    </row>
    <row r="20" spans="22:26" x14ac:dyDescent="0.35">
      <c r="V20" s="6"/>
      <c r="W20" s="25"/>
      <c r="Y20" s="6" t="s">
        <v>91</v>
      </c>
      <c r="Z20" s="24">
        <v>16614</v>
      </c>
    </row>
    <row r="21" spans="22:26" x14ac:dyDescent="0.35">
      <c r="V21" s="6"/>
      <c r="W21" s="25"/>
      <c r="Y21" s="6" t="s">
        <v>78</v>
      </c>
      <c r="Z21" s="24">
        <v>67313</v>
      </c>
    </row>
    <row r="22" spans="22:26" x14ac:dyDescent="0.35">
      <c r="V22" s="6"/>
      <c r="W22" s="25"/>
      <c r="Y22" s="6" t="s">
        <v>128</v>
      </c>
      <c r="Z22" s="24">
        <v>11751</v>
      </c>
    </row>
    <row r="23" spans="22:26" x14ac:dyDescent="0.35">
      <c r="V23" s="6"/>
      <c r="W23" s="25"/>
      <c r="Y23" s="6" t="s">
        <v>120</v>
      </c>
      <c r="Z23" s="24">
        <v>31048</v>
      </c>
    </row>
    <row r="24" spans="22:26" x14ac:dyDescent="0.35">
      <c r="V24" s="6"/>
      <c r="W24" s="25"/>
      <c r="Y24" s="6" t="s">
        <v>31</v>
      </c>
      <c r="Z24" s="24">
        <v>162323</v>
      </c>
    </row>
    <row r="25" spans="22:26" x14ac:dyDescent="0.35">
      <c r="V25" s="6"/>
      <c r="W25" s="25"/>
      <c r="Y25" s="6" t="s">
        <v>50</v>
      </c>
      <c r="Z25" s="24">
        <v>338921</v>
      </c>
    </row>
    <row r="26" spans="22:26" x14ac:dyDescent="0.35">
      <c r="V26" s="6"/>
      <c r="W26" s="25"/>
      <c r="Y26" s="6" t="s">
        <v>181</v>
      </c>
      <c r="Z26" s="24">
        <v>1916</v>
      </c>
    </row>
    <row r="27" spans="22:26" x14ac:dyDescent="0.35">
      <c r="V27" s="6"/>
      <c r="W27" s="25"/>
      <c r="Y27" s="6" t="s">
        <v>72</v>
      </c>
      <c r="Z27" s="24">
        <v>47911</v>
      </c>
    </row>
    <row r="28" spans="22:26" x14ac:dyDescent="0.35">
      <c r="V28" s="6"/>
      <c r="W28" s="25"/>
      <c r="Y28" s="6" t="s">
        <v>84</v>
      </c>
      <c r="Z28" s="24">
        <v>36401</v>
      </c>
    </row>
    <row r="29" spans="22:26" x14ac:dyDescent="0.35">
      <c r="V29" s="6"/>
      <c r="W29" s="25"/>
      <c r="Y29" s="6" t="s">
        <v>27</v>
      </c>
      <c r="Z29" s="24">
        <v>6669</v>
      </c>
    </row>
    <row r="30" spans="22:26" x14ac:dyDescent="0.35">
      <c r="V30" s="6"/>
      <c r="W30" s="25"/>
      <c r="Y30" s="6" t="s">
        <v>44</v>
      </c>
      <c r="Z30" s="24">
        <v>135777</v>
      </c>
    </row>
    <row r="31" spans="22:26" x14ac:dyDescent="0.35">
      <c r="V31" s="6"/>
      <c r="W31" s="25"/>
      <c r="Y31" s="6" t="s">
        <v>3</v>
      </c>
      <c r="Z31" s="24">
        <v>2001791</v>
      </c>
    </row>
  </sheetData>
  <conditionalFormatting sqref="AI16">
    <cfRule type="top10" dxfId="378" priority="5" rank="1"/>
  </conditionalFormatting>
  <conditionalFormatting pivot="1" sqref="AI4:AI12">
    <cfRule type="top10" dxfId="377" priority="4" rank="1"/>
  </conditionalFormatting>
  <conditionalFormatting pivot="1" sqref="AL2:AL7">
    <cfRule type="top10" dxfId="376" priority="3" rank="1"/>
  </conditionalFormatting>
  <conditionalFormatting pivot="1" sqref="AO2:AO7">
    <cfRule type="top10" dxfId="375" priority="2" rank="1"/>
  </conditionalFormatting>
  <conditionalFormatting pivot="1" sqref="AF2:AF8">
    <cfRule type="top10" dxfId="374" priority="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1"/>
  <sheetViews>
    <sheetView topLeftCell="A2" workbookViewId="0">
      <selection activeCell="E13" sqref="E13"/>
    </sheetView>
  </sheetViews>
  <sheetFormatPr defaultRowHeight="14.5" x14ac:dyDescent="0.35"/>
  <cols>
    <col min="1" max="1" width="20.54296875" style="6" customWidth="1"/>
    <col min="2" max="2" width="13.6328125" style="6" customWidth="1"/>
    <col min="3" max="3" width="13.453125" style="20" customWidth="1"/>
    <col min="4" max="4" width="18.453125" style="19" customWidth="1"/>
    <col min="5" max="5" width="16" style="6" customWidth="1"/>
    <col min="6" max="6" width="13.6328125" style="6" customWidth="1"/>
    <col min="7" max="7" width="15.1796875" style="6" customWidth="1"/>
    <col min="8" max="8" width="14.08984375" style="6" customWidth="1"/>
    <col min="9" max="16384" width="8.7265625" style="6"/>
  </cols>
  <sheetData>
    <row r="1" spans="1:8" x14ac:dyDescent="0.35">
      <c r="A1" s="6" t="s">
        <v>0</v>
      </c>
      <c r="B1" s="6" t="s">
        <v>14</v>
      </c>
      <c r="C1" s="20" t="s">
        <v>11</v>
      </c>
      <c r="D1" s="19" t="s">
        <v>1</v>
      </c>
      <c r="E1" s="6" t="s">
        <v>23</v>
      </c>
      <c r="F1" s="6" t="s">
        <v>12</v>
      </c>
      <c r="G1" s="6" t="s">
        <v>24</v>
      </c>
      <c r="H1" s="6" t="s">
        <v>25</v>
      </c>
    </row>
    <row r="2" spans="1:8" x14ac:dyDescent="0.35">
      <c r="A2" s="6" t="s">
        <v>7</v>
      </c>
      <c r="B2" s="6" t="s">
        <v>20</v>
      </c>
      <c r="C2" s="21">
        <v>4270</v>
      </c>
      <c r="D2" s="19">
        <v>41641</v>
      </c>
      <c r="E2" s="6" t="s">
        <v>26</v>
      </c>
      <c r="F2" s="6" t="s">
        <v>27</v>
      </c>
      <c r="G2" s="6" t="s">
        <v>28</v>
      </c>
      <c r="H2" s="6" t="s">
        <v>29</v>
      </c>
    </row>
    <row r="3" spans="1:8" x14ac:dyDescent="0.35">
      <c r="A3" s="6" t="s">
        <v>4</v>
      </c>
      <c r="B3" s="6" t="s">
        <v>16</v>
      </c>
      <c r="C3" s="21">
        <v>8239</v>
      </c>
      <c r="D3" s="19">
        <v>41642</v>
      </c>
      <c r="E3" s="6" t="s">
        <v>30</v>
      </c>
      <c r="F3" s="6" t="s">
        <v>31</v>
      </c>
      <c r="G3" s="6" t="s">
        <v>28</v>
      </c>
      <c r="H3" s="6" t="s">
        <v>32</v>
      </c>
    </row>
    <row r="4" spans="1:8" x14ac:dyDescent="0.35">
      <c r="A4" s="6" t="s">
        <v>5</v>
      </c>
      <c r="B4" s="6" t="s">
        <v>20</v>
      </c>
      <c r="C4" s="21">
        <v>617</v>
      </c>
      <c r="D4" s="19">
        <v>41644</v>
      </c>
      <c r="E4" s="6" t="s">
        <v>33</v>
      </c>
      <c r="F4" s="6" t="s">
        <v>27</v>
      </c>
      <c r="G4" s="6" t="s">
        <v>28</v>
      </c>
      <c r="H4" s="6" t="s">
        <v>34</v>
      </c>
    </row>
    <row r="5" spans="1:8" x14ac:dyDescent="0.35">
      <c r="A5" s="6" t="s">
        <v>5</v>
      </c>
      <c r="B5" s="6" t="s">
        <v>21</v>
      </c>
      <c r="C5" s="21">
        <v>8384</v>
      </c>
      <c r="D5" s="19">
        <v>41646</v>
      </c>
      <c r="E5" s="6" t="s">
        <v>35</v>
      </c>
      <c r="F5" s="6" t="s">
        <v>36</v>
      </c>
      <c r="G5" s="6" t="s">
        <v>37</v>
      </c>
      <c r="H5" s="6" t="s">
        <v>38</v>
      </c>
    </row>
    <row r="6" spans="1:8" x14ac:dyDescent="0.35">
      <c r="A6" s="6" t="s">
        <v>6</v>
      </c>
      <c r="B6" s="6" t="s">
        <v>20</v>
      </c>
      <c r="C6" s="21">
        <v>2626</v>
      </c>
      <c r="D6" s="19">
        <v>41648</v>
      </c>
      <c r="E6" s="6" t="s">
        <v>39</v>
      </c>
      <c r="F6" s="6" t="s">
        <v>40</v>
      </c>
      <c r="G6" s="6" t="s">
        <v>41</v>
      </c>
      <c r="H6" s="6" t="s">
        <v>42</v>
      </c>
    </row>
    <row r="7" spans="1:8" x14ac:dyDescent="0.35">
      <c r="A7" s="6" t="s">
        <v>9</v>
      </c>
      <c r="B7" s="6" t="s">
        <v>17</v>
      </c>
      <c r="C7" s="21">
        <v>3610</v>
      </c>
      <c r="D7" s="19">
        <v>41649</v>
      </c>
      <c r="E7" s="6" t="s">
        <v>43</v>
      </c>
      <c r="F7" s="6" t="s">
        <v>44</v>
      </c>
      <c r="G7" s="6" t="s">
        <v>45</v>
      </c>
      <c r="H7" s="6" t="s">
        <v>46</v>
      </c>
    </row>
    <row r="8" spans="1:8" x14ac:dyDescent="0.35">
      <c r="A8" s="6" t="s">
        <v>4</v>
      </c>
      <c r="B8" s="6" t="s">
        <v>21</v>
      </c>
      <c r="C8" s="21">
        <v>9062</v>
      </c>
      <c r="D8" s="19">
        <v>41650</v>
      </c>
      <c r="E8" s="6" t="s">
        <v>47</v>
      </c>
      <c r="F8" s="6" t="s">
        <v>48</v>
      </c>
      <c r="G8" s="6" t="s">
        <v>37</v>
      </c>
      <c r="H8" s="6" t="s">
        <v>29</v>
      </c>
    </row>
    <row r="9" spans="1:8" x14ac:dyDescent="0.35">
      <c r="A9" s="6" t="s">
        <v>10</v>
      </c>
      <c r="B9" s="6" t="s">
        <v>21</v>
      </c>
      <c r="C9" s="21">
        <v>2417</v>
      </c>
      <c r="D9" s="19">
        <v>41652</v>
      </c>
      <c r="E9" s="6" t="s">
        <v>49</v>
      </c>
      <c r="F9" s="6" t="s">
        <v>50</v>
      </c>
      <c r="G9" s="6" t="s">
        <v>41</v>
      </c>
      <c r="H9" s="6" t="s">
        <v>42</v>
      </c>
    </row>
    <row r="10" spans="1:8" x14ac:dyDescent="0.35">
      <c r="A10" s="6" t="s">
        <v>10</v>
      </c>
      <c r="B10" s="6" t="s">
        <v>21</v>
      </c>
      <c r="C10" s="21">
        <v>7431</v>
      </c>
      <c r="D10" s="19">
        <v>41654</v>
      </c>
      <c r="E10" s="6" t="s">
        <v>51</v>
      </c>
      <c r="F10" s="6" t="s">
        <v>52</v>
      </c>
      <c r="G10" s="6" t="s">
        <v>53</v>
      </c>
      <c r="H10" s="6" t="s">
        <v>29</v>
      </c>
    </row>
    <row r="11" spans="1:8" x14ac:dyDescent="0.35">
      <c r="A11" s="6" t="s">
        <v>5</v>
      </c>
      <c r="B11" s="6" t="s">
        <v>20</v>
      </c>
      <c r="C11" s="21">
        <v>8250</v>
      </c>
      <c r="D11" s="19">
        <v>41655</v>
      </c>
      <c r="E11" s="6" t="s">
        <v>54</v>
      </c>
      <c r="F11" s="6" t="s">
        <v>50</v>
      </c>
      <c r="G11" s="6" t="s">
        <v>41</v>
      </c>
      <c r="H11" s="6" t="s">
        <v>29</v>
      </c>
    </row>
    <row r="12" spans="1:8" x14ac:dyDescent="0.35">
      <c r="A12" s="6" t="s">
        <v>4</v>
      </c>
      <c r="B12" s="6" t="s">
        <v>21</v>
      </c>
      <c r="C12" s="21">
        <v>7012</v>
      </c>
      <c r="D12" s="19">
        <v>41657</v>
      </c>
      <c r="E12" s="6" t="s">
        <v>55</v>
      </c>
      <c r="F12" s="6" t="s">
        <v>44</v>
      </c>
      <c r="G12" s="6" t="s">
        <v>45</v>
      </c>
      <c r="H12" s="6" t="s">
        <v>34</v>
      </c>
    </row>
    <row r="13" spans="1:8" x14ac:dyDescent="0.35">
      <c r="A13" s="6" t="s">
        <v>7</v>
      </c>
      <c r="B13" s="6" t="s">
        <v>21</v>
      </c>
      <c r="C13" s="21">
        <v>1903</v>
      </c>
      <c r="D13" s="19">
        <v>41659</v>
      </c>
      <c r="E13" s="6" t="s">
        <v>56</v>
      </c>
      <c r="F13" s="6" t="s">
        <v>57</v>
      </c>
      <c r="G13" s="6" t="s">
        <v>41</v>
      </c>
      <c r="H13" s="6" t="s">
        <v>34</v>
      </c>
    </row>
    <row r="14" spans="1:8" x14ac:dyDescent="0.35">
      <c r="A14" s="6" t="s">
        <v>4</v>
      </c>
      <c r="B14" s="6" t="s">
        <v>20</v>
      </c>
      <c r="C14" s="21">
        <v>2824</v>
      </c>
      <c r="D14" s="19">
        <v>41661</v>
      </c>
      <c r="E14" s="6" t="s">
        <v>58</v>
      </c>
      <c r="F14" s="6" t="s">
        <v>57</v>
      </c>
      <c r="G14" s="6" t="s">
        <v>41</v>
      </c>
      <c r="H14" s="6" t="s">
        <v>29</v>
      </c>
    </row>
    <row r="15" spans="1:8" x14ac:dyDescent="0.35">
      <c r="A15" s="6" t="s">
        <v>10</v>
      </c>
      <c r="B15" s="6" t="s">
        <v>21</v>
      </c>
      <c r="C15" s="21">
        <v>6946</v>
      </c>
      <c r="D15" s="19">
        <v>41663</v>
      </c>
      <c r="E15" s="6" t="s">
        <v>59</v>
      </c>
      <c r="F15" s="6" t="s">
        <v>36</v>
      </c>
      <c r="G15" s="6" t="s">
        <v>37</v>
      </c>
      <c r="H15" s="6" t="s">
        <v>38</v>
      </c>
    </row>
    <row r="16" spans="1:8" x14ac:dyDescent="0.35">
      <c r="A16" s="6" t="s">
        <v>5</v>
      </c>
      <c r="B16" s="6" t="s">
        <v>17</v>
      </c>
      <c r="C16" s="21">
        <v>2320</v>
      </c>
      <c r="D16" s="19">
        <v>41666</v>
      </c>
      <c r="E16" s="6" t="s">
        <v>60</v>
      </c>
      <c r="F16" s="6" t="s">
        <v>36</v>
      </c>
      <c r="G16" s="6" t="s">
        <v>37</v>
      </c>
      <c r="H16" s="6" t="s">
        <v>46</v>
      </c>
    </row>
    <row r="17" spans="1:8" x14ac:dyDescent="0.35">
      <c r="A17" s="6" t="s">
        <v>5</v>
      </c>
      <c r="B17" s="6" t="s">
        <v>17</v>
      </c>
      <c r="C17" s="21">
        <v>2116</v>
      </c>
      <c r="D17" s="19">
        <v>41667</v>
      </c>
      <c r="E17" s="6" t="s">
        <v>35</v>
      </c>
      <c r="F17" s="6" t="s">
        <v>36</v>
      </c>
      <c r="G17" s="6" t="s">
        <v>37</v>
      </c>
      <c r="H17" s="6" t="s">
        <v>29</v>
      </c>
    </row>
    <row r="18" spans="1:8" x14ac:dyDescent="0.35">
      <c r="A18" s="6" t="s">
        <v>5</v>
      </c>
      <c r="B18" s="6" t="s">
        <v>21</v>
      </c>
      <c r="C18" s="21">
        <v>1135</v>
      </c>
      <c r="D18" s="19">
        <v>41669</v>
      </c>
      <c r="E18" s="6" t="s">
        <v>61</v>
      </c>
      <c r="F18" s="6" t="s">
        <v>62</v>
      </c>
      <c r="G18" s="6" t="s">
        <v>63</v>
      </c>
      <c r="H18" s="6" t="s">
        <v>42</v>
      </c>
    </row>
    <row r="19" spans="1:8" x14ac:dyDescent="0.35">
      <c r="A19" s="6" t="s">
        <v>4</v>
      </c>
      <c r="B19" s="6" t="s">
        <v>21</v>
      </c>
      <c r="C19" s="21">
        <v>3595</v>
      </c>
      <c r="D19" s="19">
        <v>41669</v>
      </c>
      <c r="E19" s="6" t="s">
        <v>64</v>
      </c>
      <c r="F19" s="6" t="s">
        <v>57</v>
      </c>
      <c r="G19" s="6" t="s">
        <v>41</v>
      </c>
      <c r="H19" s="6" t="s">
        <v>34</v>
      </c>
    </row>
    <row r="20" spans="1:8" x14ac:dyDescent="0.35">
      <c r="A20" s="6" t="s">
        <v>10</v>
      </c>
      <c r="B20" s="6" t="s">
        <v>16</v>
      </c>
      <c r="C20" s="21">
        <v>1161</v>
      </c>
      <c r="D20" s="19">
        <v>41672</v>
      </c>
      <c r="E20" s="6" t="s">
        <v>43</v>
      </c>
      <c r="F20" s="6" t="s">
        <v>44</v>
      </c>
      <c r="G20" s="6" t="s">
        <v>45</v>
      </c>
      <c r="H20" s="6" t="s">
        <v>29</v>
      </c>
    </row>
    <row r="21" spans="1:8" x14ac:dyDescent="0.35">
      <c r="A21" s="6" t="s">
        <v>9</v>
      </c>
      <c r="B21" s="6" t="s">
        <v>16</v>
      </c>
      <c r="C21" s="21">
        <v>2256</v>
      </c>
      <c r="D21" s="19">
        <v>41674</v>
      </c>
      <c r="E21" s="6" t="s">
        <v>54</v>
      </c>
      <c r="F21" s="6" t="s">
        <v>50</v>
      </c>
      <c r="G21" s="6" t="s">
        <v>41</v>
      </c>
      <c r="H21" s="6" t="s">
        <v>42</v>
      </c>
    </row>
    <row r="22" spans="1:8" x14ac:dyDescent="0.35">
      <c r="A22" s="6" t="s">
        <v>5</v>
      </c>
      <c r="B22" s="6" t="s">
        <v>16</v>
      </c>
      <c r="C22" s="21">
        <v>3642</v>
      </c>
      <c r="D22" s="19">
        <v>41676</v>
      </c>
      <c r="E22" s="6" t="s">
        <v>65</v>
      </c>
      <c r="F22" s="6" t="s">
        <v>66</v>
      </c>
      <c r="G22" s="6" t="s">
        <v>28</v>
      </c>
      <c r="H22" s="6" t="s">
        <v>42</v>
      </c>
    </row>
    <row r="23" spans="1:8" x14ac:dyDescent="0.35">
      <c r="A23" s="6" t="s">
        <v>5</v>
      </c>
      <c r="B23" s="6" t="s">
        <v>15</v>
      </c>
      <c r="C23" s="21">
        <v>4582</v>
      </c>
      <c r="D23" s="19">
        <v>41682</v>
      </c>
      <c r="E23" s="6" t="s">
        <v>67</v>
      </c>
      <c r="F23" s="6" t="s">
        <v>44</v>
      </c>
      <c r="G23" s="6" t="s">
        <v>45</v>
      </c>
      <c r="H23" s="6" t="s">
        <v>29</v>
      </c>
    </row>
    <row r="24" spans="1:8" x14ac:dyDescent="0.35">
      <c r="A24" s="6" t="s">
        <v>6</v>
      </c>
      <c r="B24" s="6" t="s">
        <v>16</v>
      </c>
      <c r="C24" s="21">
        <v>3559</v>
      </c>
      <c r="D24" s="19">
        <v>41684</v>
      </c>
      <c r="E24" s="6" t="s">
        <v>68</v>
      </c>
      <c r="F24" s="6" t="s">
        <v>69</v>
      </c>
      <c r="G24" s="6" t="s">
        <v>41</v>
      </c>
      <c r="H24" s="6" t="s">
        <v>29</v>
      </c>
    </row>
    <row r="25" spans="1:8" x14ac:dyDescent="0.35">
      <c r="A25" s="6" t="s">
        <v>7</v>
      </c>
      <c r="B25" s="6" t="s">
        <v>15</v>
      </c>
      <c r="C25" s="21">
        <v>5154</v>
      </c>
      <c r="D25" s="19">
        <v>41687</v>
      </c>
      <c r="E25" s="6" t="s">
        <v>70</v>
      </c>
      <c r="F25" s="6" t="s">
        <v>69</v>
      </c>
      <c r="G25" s="6" t="s">
        <v>41</v>
      </c>
      <c r="H25" s="6" t="s">
        <v>38</v>
      </c>
    </row>
    <row r="26" spans="1:8" x14ac:dyDescent="0.35">
      <c r="A26" s="6" t="s">
        <v>8</v>
      </c>
      <c r="B26" s="6" t="s">
        <v>16</v>
      </c>
      <c r="C26" s="21">
        <v>7388</v>
      </c>
      <c r="D26" s="19">
        <v>41688</v>
      </c>
      <c r="E26" s="6" t="s">
        <v>30</v>
      </c>
      <c r="F26" s="6" t="s">
        <v>31</v>
      </c>
      <c r="G26" s="6" t="s">
        <v>28</v>
      </c>
      <c r="H26" s="6" t="s">
        <v>46</v>
      </c>
    </row>
    <row r="27" spans="1:8" x14ac:dyDescent="0.35">
      <c r="A27" s="6" t="s">
        <v>6</v>
      </c>
      <c r="B27" s="6" t="s">
        <v>15</v>
      </c>
      <c r="C27" s="21">
        <v>7163</v>
      </c>
      <c r="D27" s="19">
        <v>41688</v>
      </c>
      <c r="E27" s="6" t="s">
        <v>71</v>
      </c>
      <c r="F27" s="6" t="s">
        <v>72</v>
      </c>
      <c r="G27" s="6" t="s">
        <v>41</v>
      </c>
      <c r="H27" s="6" t="s">
        <v>46</v>
      </c>
    </row>
    <row r="28" spans="1:8" x14ac:dyDescent="0.35">
      <c r="A28" s="6" t="s">
        <v>6</v>
      </c>
      <c r="B28" s="6" t="s">
        <v>16</v>
      </c>
      <c r="C28" s="21">
        <v>5101</v>
      </c>
      <c r="D28" s="19">
        <v>41690</v>
      </c>
      <c r="E28" s="6" t="s">
        <v>54</v>
      </c>
      <c r="F28" s="6" t="s">
        <v>50</v>
      </c>
      <c r="G28" s="6" t="s">
        <v>41</v>
      </c>
      <c r="H28" s="6" t="s">
        <v>46</v>
      </c>
    </row>
    <row r="29" spans="1:8" x14ac:dyDescent="0.35">
      <c r="A29" s="6" t="s">
        <v>10</v>
      </c>
      <c r="B29" s="6" t="s">
        <v>15</v>
      </c>
      <c r="C29" s="21">
        <v>7602</v>
      </c>
      <c r="D29" s="19">
        <v>41691</v>
      </c>
      <c r="E29" s="6" t="s">
        <v>43</v>
      </c>
      <c r="F29" s="6" t="s">
        <v>44</v>
      </c>
      <c r="G29" s="6" t="s">
        <v>45</v>
      </c>
      <c r="H29" s="6" t="s">
        <v>34</v>
      </c>
    </row>
    <row r="30" spans="1:8" x14ac:dyDescent="0.35">
      <c r="A30" s="6" t="s">
        <v>8</v>
      </c>
      <c r="B30" s="6" t="s">
        <v>16</v>
      </c>
      <c r="C30" s="21">
        <v>1641</v>
      </c>
      <c r="D30" s="19">
        <v>41692</v>
      </c>
      <c r="E30" s="6" t="s">
        <v>73</v>
      </c>
      <c r="F30" s="6" t="s">
        <v>62</v>
      </c>
      <c r="G30" s="6" t="s">
        <v>63</v>
      </c>
      <c r="H30" s="6" t="s">
        <v>29</v>
      </c>
    </row>
    <row r="31" spans="1:8" x14ac:dyDescent="0.35">
      <c r="A31" s="6" t="s">
        <v>10</v>
      </c>
      <c r="B31" s="6" t="s">
        <v>15</v>
      </c>
      <c r="C31" s="21">
        <v>8892</v>
      </c>
      <c r="D31" s="19">
        <v>41693</v>
      </c>
      <c r="E31" s="6" t="s">
        <v>74</v>
      </c>
      <c r="F31" s="6" t="s">
        <v>36</v>
      </c>
      <c r="G31" s="6" t="s">
        <v>37</v>
      </c>
      <c r="H31" s="6" t="s">
        <v>34</v>
      </c>
    </row>
    <row r="32" spans="1:8" x14ac:dyDescent="0.35">
      <c r="A32" s="6" t="s">
        <v>10</v>
      </c>
      <c r="B32" s="6" t="s">
        <v>16</v>
      </c>
      <c r="C32" s="21">
        <v>2060</v>
      </c>
      <c r="D32" s="19">
        <v>41698</v>
      </c>
      <c r="E32" s="6" t="s">
        <v>75</v>
      </c>
      <c r="F32" s="6" t="s">
        <v>76</v>
      </c>
      <c r="G32" s="6" t="s">
        <v>53</v>
      </c>
      <c r="H32" s="6" t="s">
        <v>34</v>
      </c>
    </row>
    <row r="33" spans="1:8" x14ac:dyDescent="0.35">
      <c r="A33" s="6" t="s">
        <v>4</v>
      </c>
      <c r="B33" s="6" t="s">
        <v>15</v>
      </c>
      <c r="C33" s="21">
        <v>1557</v>
      </c>
      <c r="D33" s="19">
        <v>41698</v>
      </c>
      <c r="E33" s="6" t="s">
        <v>77</v>
      </c>
      <c r="F33" s="6" t="s">
        <v>78</v>
      </c>
      <c r="G33" s="6" t="s">
        <v>45</v>
      </c>
      <c r="H33" s="6" t="s">
        <v>29</v>
      </c>
    </row>
    <row r="34" spans="1:8" x14ac:dyDescent="0.35">
      <c r="A34" s="6" t="s">
        <v>10</v>
      </c>
      <c r="B34" s="6" t="s">
        <v>16</v>
      </c>
      <c r="C34" s="21">
        <v>6509</v>
      </c>
      <c r="D34" s="19">
        <v>41699</v>
      </c>
      <c r="E34" s="6" t="s">
        <v>79</v>
      </c>
      <c r="F34" s="6" t="s">
        <v>80</v>
      </c>
      <c r="G34" s="6" t="s">
        <v>45</v>
      </c>
      <c r="H34" s="6" t="s">
        <v>38</v>
      </c>
    </row>
    <row r="35" spans="1:8" x14ac:dyDescent="0.35">
      <c r="A35" s="6" t="s">
        <v>10</v>
      </c>
      <c r="B35" s="6" t="s">
        <v>17</v>
      </c>
      <c r="C35" s="21">
        <v>5718</v>
      </c>
      <c r="D35" s="19">
        <v>41702</v>
      </c>
      <c r="E35" s="6" t="s">
        <v>81</v>
      </c>
      <c r="F35" s="6" t="s">
        <v>82</v>
      </c>
      <c r="G35" s="6" t="s">
        <v>45</v>
      </c>
      <c r="H35" s="6" t="s">
        <v>46</v>
      </c>
    </row>
    <row r="36" spans="1:8" x14ac:dyDescent="0.35">
      <c r="A36" s="6" t="s">
        <v>10</v>
      </c>
      <c r="B36" s="6" t="s">
        <v>18</v>
      </c>
      <c r="C36" s="21">
        <v>7655</v>
      </c>
      <c r="D36" s="19">
        <v>41703</v>
      </c>
      <c r="E36" s="6" t="s">
        <v>83</v>
      </c>
      <c r="F36" s="6" t="s">
        <v>84</v>
      </c>
      <c r="G36" s="6" t="s">
        <v>28</v>
      </c>
      <c r="H36" s="6" t="s">
        <v>29</v>
      </c>
    </row>
    <row r="37" spans="1:8" x14ac:dyDescent="0.35">
      <c r="A37" s="6" t="s">
        <v>7</v>
      </c>
      <c r="B37" s="6" t="s">
        <v>20</v>
      </c>
      <c r="C37" s="21">
        <v>9116</v>
      </c>
      <c r="D37" s="19">
        <v>41703</v>
      </c>
      <c r="E37" s="6" t="s">
        <v>85</v>
      </c>
      <c r="F37" s="6" t="s">
        <v>86</v>
      </c>
      <c r="G37" s="6" t="s">
        <v>28</v>
      </c>
      <c r="H37" s="6" t="s">
        <v>42</v>
      </c>
    </row>
    <row r="38" spans="1:8" x14ac:dyDescent="0.35">
      <c r="A38" s="6" t="s">
        <v>5</v>
      </c>
      <c r="B38" s="6" t="s">
        <v>18</v>
      </c>
      <c r="C38" s="21">
        <v>2795</v>
      </c>
      <c r="D38" s="19">
        <v>41713</v>
      </c>
      <c r="E38" s="6" t="s">
        <v>87</v>
      </c>
      <c r="F38" s="6" t="s">
        <v>52</v>
      </c>
      <c r="G38" s="6" t="s">
        <v>53</v>
      </c>
      <c r="H38" s="6" t="s">
        <v>34</v>
      </c>
    </row>
    <row r="39" spans="1:8" x14ac:dyDescent="0.35">
      <c r="A39" s="6" t="s">
        <v>5</v>
      </c>
      <c r="B39" s="6" t="s">
        <v>18</v>
      </c>
      <c r="C39" s="21">
        <v>5084</v>
      </c>
      <c r="D39" s="19">
        <v>41713</v>
      </c>
      <c r="E39" s="6" t="s">
        <v>35</v>
      </c>
      <c r="F39" s="6" t="s">
        <v>36</v>
      </c>
      <c r="G39" s="6" t="s">
        <v>37</v>
      </c>
      <c r="H39" s="6" t="s">
        <v>29</v>
      </c>
    </row>
    <row r="40" spans="1:8" x14ac:dyDescent="0.35">
      <c r="A40" s="6" t="s">
        <v>7</v>
      </c>
      <c r="B40" s="6" t="s">
        <v>18</v>
      </c>
      <c r="C40" s="21">
        <v>8941</v>
      </c>
      <c r="D40" s="19">
        <v>41713</v>
      </c>
      <c r="E40" s="6" t="s">
        <v>65</v>
      </c>
      <c r="F40" s="6" t="s">
        <v>66</v>
      </c>
      <c r="G40" s="6" t="s">
        <v>28</v>
      </c>
      <c r="H40" s="6" t="s">
        <v>42</v>
      </c>
    </row>
    <row r="41" spans="1:8" x14ac:dyDescent="0.35">
      <c r="A41" s="6" t="s">
        <v>4</v>
      </c>
      <c r="B41" s="6" t="s">
        <v>20</v>
      </c>
      <c r="C41" s="21">
        <v>5341</v>
      </c>
      <c r="D41" s="19">
        <v>41714</v>
      </c>
      <c r="E41" s="6" t="s">
        <v>88</v>
      </c>
      <c r="F41" s="6" t="s">
        <v>48</v>
      </c>
      <c r="G41" s="6" t="s">
        <v>37</v>
      </c>
      <c r="H41" s="6" t="s">
        <v>42</v>
      </c>
    </row>
    <row r="42" spans="1:8" x14ac:dyDescent="0.35">
      <c r="A42" s="6" t="s">
        <v>5</v>
      </c>
      <c r="B42" s="6" t="s">
        <v>20</v>
      </c>
      <c r="C42" s="21">
        <v>135</v>
      </c>
      <c r="D42" s="19">
        <v>41717</v>
      </c>
      <c r="E42" s="6" t="s">
        <v>74</v>
      </c>
      <c r="F42" s="6" t="s">
        <v>36</v>
      </c>
      <c r="G42" s="6" t="s">
        <v>37</v>
      </c>
      <c r="H42" s="6" t="s">
        <v>29</v>
      </c>
    </row>
    <row r="43" spans="1:8" x14ac:dyDescent="0.35">
      <c r="A43" s="6" t="s">
        <v>5</v>
      </c>
      <c r="B43" s="6" t="s">
        <v>21</v>
      </c>
      <c r="C43" s="21">
        <v>9400</v>
      </c>
      <c r="D43" s="19">
        <v>41717</v>
      </c>
      <c r="E43" s="6" t="s">
        <v>89</v>
      </c>
      <c r="F43" s="6" t="s">
        <v>72</v>
      </c>
      <c r="G43" s="6" t="s">
        <v>41</v>
      </c>
      <c r="H43" s="6" t="s">
        <v>29</v>
      </c>
    </row>
    <row r="44" spans="1:8" x14ac:dyDescent="0.35">
      <c r="A44" s="6" t="s">
        <v>6</v>
      </c>
      <c r="B44" s="6" t="s">
        <v>20</v>
      </c>
      <c r="C44" s="21">
        <v>6045</v>
      </c>
      <c r="D44" s="19">
        <v>41719</v>
      </c>
      <c r="E44" s="6" t="s">
        <v>90</v>
      </c>
      <c r="F44" s="6" t="s">
        <v>91</v>
      </c>
      <c r="G44" s="6" t="s">
        <v>63</v>
      </c>
      <c r="H44" s="6" t="s">
        <v>38</v>
      </c>
    </row>
    <row r="45" spans="1:8" x14ac:dyDescent="0.35">
      <c r="A45" s="6" t="s">
        <v>9</v>
      </c>
      <c r="B45" s="6" t="s">
        <v>18</v>
      </c>
      <c r="C45" s="21">
        <v>8887</v>
      </c>
      <c r="D45" s="19">
        <v>41721</v>
      </c>
      <c r="E45" s="6" t="s">
        <v>92</v>
      </c>
      <c r="F45" s="6" t="s">
        <v>40</v>
      </c>
      <c r="G45" s="6" t="s">
        <v>41</v>
      </c>
      <c r="H45" s="6" t="s">
        <v>46</v>
      </c>
    </row>
    <row r="46" spans="1:8" x14ac:dyDescent="0.35">
      <c r="A46" s="6" t="s">
        <v>9</v>
      </c>
      <c r="B46" s="6" t="s">
        <v>18</v>
      </c>
      <c r="C46" s="21">
        <v>6982</v>
      </c>
      <c r="D46" s="19">
        <v>41722</v>
      </c>
      <c r="E46" s="6" t="s">
        <v>93</v>
      </c>
      <c r="F46" s="6" t="s">
        <v>78</v>
      </c>
      <c r="G46" s="6" t="s">
        <v>45</v>
      </c>
      <c r="H46" s="6" t="s">
        <v>46</v>
      </c>
    </row>
    <row r="47" spans="1:8" x14ac:dyDescent="0.35">
      <c r="A47" s="6" t="s">
        <v>5</v>
      </c>
      <c r="B47" s="6" t="s">
        <v>21</v>
      </c>
      <c r="C47" s="21">
        <v>4029</v>
      </c>
      <c r="D47" s="19">
        <v>41724</v>
      </c>
      <c r="E47" s="6" t="s">
        <v>65</v>
      </c>
      <c r="F47" s="6" t="s">
        <v>66</v>
      </c>
      <c r="G47" s="6" t="s">
        <v>28</v>
      </c>
      <c r="H47" s="6" t="s">
        <v>46</v>
      </c>
    </row>
    <row r="48" spans="1:8" x14ac:dyDescent="0.35">
      <c r="A48" s="6" t="s">
        <v>7</v>
      </c>
      <c r="B48" s="6" t="s">
        <v>18</v>
      </c>
      <c r="C48" s="21">
        <v>3665</v>
      </c>
      <c r="D48" s="19">
        <v>41724</v>
      </c>
      <c r="E48" s="6" t="s">
        <v>47</v>
      </c>
      <c r="F48" s="6" t="s">
        <v>48</v>
      </c>
      <c r="G48" s="6" t="s">
        <v>37</v>
      </c>
      <c r="H48" s="6" t="s">
        <v>34</v>
      </c>
    </row>
    <row r="49" spans="1:8" x14ac:dyDescent="0.35">
      <c r="A49" s="6" t="s">
        <v>5</v>
      </c>
      <c r="B49" s="6" t="s">
        <v>18</v>
      </c>
      <c r="C49" s="21">
        <v>4781</v>
      </c>
      <c r="D49" s="19">
        <v>41727</v>
      </c>
      <c r="E49" s="6" t="s">
        <v>94</v>
      </c>
      <c r="F49" s="6" t="s">
        <v>44</v>
      </c>
      <c r="G49" s="6" t="s">
        <v>45</v>
      </c>
      <c r="H49" s="6" t="s">
        <v>29</v>
      </c>
    </row>
    <row r="50" spans="1:8" x14ac:dyDescent="0.35">
      <c r="A50" s="6" t="s">
        <v>8</v>
      </c>
      <c r="B50" s="6" t="s">
        <v>21</v>
      </c>
      <c r="C50" s="21">
        <v>3663</v>
      </c>
      <c r="D50" s="19">
        <v>41728</v>
      </c>
      <c r="E50" s="6" t="s">
        <v>95</v>
      </c>
      <c r="F50" s="6" t="s">
        <v>36</v>
      </c>
      <c r="G50" s="6" t="s">
        <v>37</v>
      </c>
      <c r="H50" s="6" t="s">
        <v>34</v>
      </c>
    </row>
    <row r="51" spans="1:8" x14ac:dyDescent="0.35">
      <c r="A51" s="6" t="s">
        <v>10</v>
      </c>
      <c r="B51" s="6" t="s">
        <v>21</v>
      </c>
      <c r="C51" s="21">
        <v>6331</v>
      </c>
      <c r="D51" s="19">
        <v>41730</v>
      </c>
      <c r="E51" s="6" t="s">
        <v>96</v>
      </c>
      <c r="F51" s="6" t="s">
        <v>36</v>
      </c>
      <c r="G51" s="6" t="s">
        <v>37</v>
      </c>
      <c r="H51" s="6" t="s">
        <v>34</v>
      </c>
    </row>
    <row r="52" spans="1:8" x14ac:dyDescent="0.35">
      <c r="A52" s="6" t="s">
        <v>10</v>
      </c>
      <c r="B52" s="6" t="s">
        <v>18</v>
      </c>
      <c r="C52" s="21">
        <v>4364</v>
      </c>
      <c r="D52" s="19">
        <v>41730</v>
      </c>
      <c r="E52" s="6" t="s">
        <v>97</v>
      </c>
      <c r="F52" s="6" t="s">
        <v>40</v>
      </c>
      <c r="G52" s="6" t="s">
        <v>41</v>
      </c>
      <c r="H52" s="6" t="s">
        <v>29</v>
      </c>
    </row>
    <row r="53" spans="1:8" x14ac:dyDescent="0.35">
      <c r="A53" s="6" t="s">
        <v>7</v>
      </c>
      <c r="B53" s="6" t="s">
        <v>20</v>
      </c>
      <c r="C53" s="21">
        <v>607</v>
      </c>
      <c r="D53" s="19">
        <v>41732</v>
      </c>
      <c r="E53" s="6" t="s">
        <v>26</v>
      </c>
      <c r="F53" s="6" t="s">
        <v>27</v>
      </c>
      <c r="G53" s="6" t="s">
        <v>28</v>
      </c>
      <c r="H53" s="6" t="s">
        <v>38</v>
      </c>
    </row>
    <row r="54" spans="1:8" x14ac:dyDescent="0.35">
      <c r="A54" s="6" t="s">
        <v>7</v>
      </c>
      <c r="B54" s="6" t="s">
        <v>18</v>
      </c>
      <c r="C54" s="21">
        <v>7659</v>
      </c>
      <c r="D54" s="19">
        <v>41735</v>
      </c>
      <c r="E54" s="6" t="s">
        <v>30</v>
      </c>
      <c r="F54" s="6" t="s">
        <v>31</v>
      </c>
      <c r="G54" s="6" t="s">
        <v>28</v>
      </c>
      <c r="H54" s="6" t="s">
        <v>46</v>
      </c>
    </row>
    <row r="55" spans="1:8" x14ac:dyDescent="0.35">
      <c r="A55" s="6" t="s">
        <v>4</v>
      </c>
      <c r="B55" s="6" t="s">
        <v>21</v>
      </c>
      <c r="C55" s="21">
        <v>277</v>
      </c>
      <c r="D55" s="19">
        <v>41741</v>
      </c>
      <c r="E55" s="6" t="s">
        <v>56</v>
      </c>
      <c r="F55" s="6" t="s">
        <v>57</v>
      </c>
      <c r="G55" s="6" t="s">
        <v>41</v>
      </c>
      <c r="H55" s="6" t="s">
        <v>29</v>
      </c>
    </row>
    <row r="56" spans="1:8" x14ac:dyDescent="0.35">
      <c r="A56" s="6" t="s">
        <v>5</v>
      </c>
      <c r="B56" s="6" t="s">
        <v>18</v>
      </c>
      <c r="C56" s="21">
        <v>235</v>
      </c>
      <c r="D56" s="19">
        <v>41746</v>
      </c>
      <c r="E56" s="6" t="s">
        <v>58</v>
      </c>
      <c r="F56" s="6" t="s">
        <v>57</v>
      </c>
      <c r="G56" s="6" t="s">
        <v>41</v>
      </c>
      <c r="H56" s="6" t="s">
        <v>42</v>
      </c>
    </row>
    <row r="57" spans="1:8" x14ac:dyDescent="0.35">
      <c r="A57" s="6" t="s">
        <v>9</v>
      </c>
      <c r="B57" s="6" t="s">
        <v>18</v>
      </c>
      <c r="C57" s="21">
        <v>1113</v>
      </c>
      <c r="D57" s="19">
        <v>41747</v>
      </c>
      <c r="E57" s="6" t="s">
        <v>98</v>
      </c>
      <c r="F57" s="6" t="s">
        <v>99</v>
      </c>
      <c r="G57" s="6" t="s">
        <v>28</v>
      </c>
      <c r="H57" s="6" t="s">
        <v>34</v>
      </c>
    </row>
    <row r="58" spans="1:8" x14ac:dyDescent="0.35">
      <c r="A58" s="6" t="s">
        <v>10</v>
      </c>
      <c r="B58" s="6" t="s">
        <v>21</v>
      </c>
      <c r="C58" s="21">
        <v>1128</v>
      </c>
      <c r="D58" s="19">
        <v>41750</v>
      </c>
      <c r="E58" s="6" t="s">
        <v>54</v>
      </c>
      <c r="F58" s="6" t="s">
        <v>50</v>
      </c>
      <c r="G58" s="6" t="s">
        <v>41</v>
      </c>
      <c r="H58" s="6" t="s">
        <v>29</v>
      </c>
    </row>
    <row r="59" spans="1:8" x14ac:dyDescent="0.35">
      <c r="A59" s="6" t="s">
        <v>4</v>
      </c>
      <c r="B59" s="6" t="s">
        <v>18</v>
      </c>
      <c r="C59" s="21">
        <v>9231</v>
      </c>
      <c r="D59" s="19">
        <v>41751</v>
      </c>
      <c r="E59" s="6" t="s">
        <v>93</v>
      </c>
      <c r="F59" s="6" t="s">
        <v>78</v>
      </c>
      <c r="G59" s="6" t="s">
        <v>45</v>
      </c>
      <c r="H59" s="6" t="s">
        <v>42</v>
      </c>
    </row>
    <row r="60" spans="1:8" x14ac:dyDescent="0.35">
      <c r="A60" s="6" t="s">
        <v>5</v>
      </c>
      <c r="B60" s="6" t="s">
        <v>21</v>
      </c>
      <c r="C60" s="21">
        <v>4387</v>
      </c>
      <c r="D60" s="19">
        <v>41752</v>
      </c>
      <c r="E60" s="6" t="s">
        <v>100</v>
      </c>
      <c r="F60" s="6" t="s">
        <v>50</v>
      </c>
      <c r="G60" s="6" t="s">
        <v>41</v>
      </c>
      <c r="H60" s="6" t="s">
        <v>42</v>
      </c>
    </row>
    <row r="61" spans="1:8" x14ac:dyDescent="0.35">
      <c r="A61" s="6" t="s">
        <v>10</v>
      </c>
      <c r="B61" s="6" t="s">
        <v>15</v>
      </c>
      <c r="C61" s="21">
        <v>2763</v>
      </c>
      <c r="D61" s="19">
        <v>41754</v>
      </c>
      <c r="E61" s="6" t="s">
        <v>101</v>
      </c>
      <c r="F61" s="6" t="s">
        <v>48</v>
      </c>
      <c r="G61" s="6" t="s">
        <v>37</v>
      </c>
      <c r="H61" s="6" t="s">
        <v>29</v>
      </c>
    </row>
    <row r="62" spans="1:8" x14ac:dyDescent="0.35">
      <c r="A62" s="6" t="s">
        <v>5</v>
      </c>
      <c r="B62" s="6" t="s">
        <v>18</v>
      </c>
      <c r="C62" s="21">
        <v>7898</v>
      </c>
      <c r="D62" s="19">
        <v>41756</v>
      </c>
      <c r="E62" s="6" t="s">
        <v>102</v>
      </c>
      <c r="F62" s="6" t="s">
        <v>103</v>
      </c>
      <c r="G62" s="6" t="s">
        <v>63</v>
      </c>
      <c r="H62" s="6" t="s">
        <v>29</v>
      </c>
    </row>
    <row r="63" spans="1:8" x14ac:dyDescent="0.35">
      <c r="A63" s="6" t="s">
        <v>5</v>
      </c>
      <c r="B63" s="6" t="s">
        <v>18</v>
      </c>
      <c r="C63" s="21">
        <v>2427</v>
      </c>
      <c r="D63" s="19">
        <v>41759</v>
      </c>
      <c r="E63" s="6" t="s">
        <v>58</v>
      </c>
      <c r="F63" s="6" t="s">
        <v>57</v>
      </c>
      <c r="G63" s="6" t="s">
        <v>41</v>
      </c>
      <c r="H63" s="6" t="s">
        <v>38</v>
      </c>
    </row>
    <row r="64" spans="1:8" x14ac:dyDescent="0.35">
      <c r="A64" s="6" t="s">
        <v>7</v>
      </c>
      <c r="B64" s="6" t="s">
        <v>16</v>
      </c>
      <c r="C64" s="21">
        <v>2789</v>
      </c>
      <c r="D64" s="19">
        <v>41760</v>
      </c>
      <c r="E64" s="6" t="s">
        <v>68</v>
      </c>
      <c r="F64" s="6" t="s">
        <v>69</v>
      </c>
      <c r="G64" s="6" t="s">
        <v>41</v>
      </c>
      <c r="H64" s="6" t="s">
        <v>46</v>
      </c>
    </row>
    <row r="65" spans="1:8" x14ac:dyDescent="0.35">
      <c r="A65" s="6" t="s">
        <v>5</v>
      </c>
      <c r="B65" s="6" t="s">
        <v>18</v>
      </c>
      <c r="C65" s="21">
        <v>4054</v>
      </c>
      <c r="D65" s="19">
        <v>41761</v>
      </c>
      <c r="E65" s="6" t="s">
        <v>65</v>
      </c>
      <c r="F65" s="6" t="s">
        <v>66</v>
      </c>
      <c r="G65" s="6" t="s">
        <v>28</v>
      </c>
      <c r="H65" s="6" t="s">
        <v>46</v>
      </c>
    </row>
    <row r="66" spans="1:8" x14ac:dyDescent="0.35">
      <c r="A66" s="6" t="s">
        <v>8</v>
      </c>
      <c r="B66" s="6" t="s">
        <v>21</v>
      </c>
      <c r="C66" s="21">
        <v>2262</v>
      </c>
      <c r="D66" s="19">
        <v>41761</v>
      </c>
      <c r="E66" s="6" t="s">
        <v>90</v>
      </c>
      <c r="F66" s="6" t="s">
        <v>91</v>
      </c>
      <c r="G66" s="6" t="s">
        <v>63</v>
      </c>
      <c r="H66" s="6" t="s">
        <v>46</v>
      </c>
    </row>
    <row r="67" spans="1:8" x14ac:dyDescent="0.35">
      <c r="A67" s="6" t="s">
        <v>8</v>
      </c>
      <c r="B67" s="6" t="s">
        <v>19</v>
      </c>
      <c r="C67" s="21">
        <v>5600</v>
      </c>
      <c r="D67" s="19">
        <v>41761</v>
      </c>
      <c r="E67" s="6" t="s">
        <v>104</v>
      </c>
      <c r="F67" s="6" t="s">
        <v>57</v>
      </c>
      <c r="G67" s="6" t="s">
        <v>41</v>
      </c>
      <c r="H67" s="6" t="s">
        <v>34</v>
      </c>
    </row>
    <row r="68" spans="1:8" x14ac:dyDescent="0.35">
      <c r="A68" s="6" t="s">
        <v>5</v>
      </c>
      <c r="B68" s="6" t="s">
        <v>183</v>
      </c>
      <c r="C68" s="21">
        <v>5787</v>
      </c>
      <c r="D68" s="19">
        <v>41762</v>
      </c>
      <c r="E68" s="6" t="s">
        <v>68</v>
      </c>
      <c r="F68" s="6" t="s">
        <v>69</v>
      </c>
      <c r="G68" s="6" t="s">
        <v>41</v>
      </c>
      <c r="H68" s="6" t="s">
        <v>29</v>
      </c>
    </row>
    <row r="69" spans="1:8" x14ac:dyDescent="0.35">
      <c r="A69" s="6" t="s">
        <v>9</v>
      </c>
      <c r="B69" s="6" t="s">
        <v>18</v>
      </c>
      <c r="C69" s="21">
        <v>6295</v>
      </c>
      <c r="D69" s="19">
        <v>41762</v>
      </c>
      <c r="E69" s="6" t="s">
        <v>51</v>
      </c>
      <c r="F69" s="6" t="s">
        <v>52</v>
      </c>
      <c r="G69" s="6" t="s">
        <v>53</v>
      </c>
      <c r="H69" s="6" t="s">
        <v>34</v>
      </c>
    </row>
    <row r="70" spans="1:8" x14ac:dyDescent="0.35">
      <c r="A70" s="6" t="s">
        <v>5</v>
      </c>
      <c r="B70" s="6" t="s">
        <v>18</v>
      </c>
      <c r="C70" s="21">
        <v>474</v>
      </c>
      <c r="D70" s="19">
        <v>41764</v>
      </c>
      <c r="E70" s="6" t="s">
        <v>105</v>
      </c>
      <c r="F70" s="6" t="s">
        <v>50</v>
      </c>
      <c r="G70" s="6" t="s">
        <v>41</v>
      </c>
      <c r="H70" s="6" t="s">
        <v>34</v>
      </c>
    </row>
    <row r="71" spans="1:8" x14ac:dyDescent="0.35">
      <c r="A71" s="6" t="s">
        <v>10</v>
      </c>
      <c r="B71" s="6" t="s">
        <v>183</v>
      </c>
      <c r="C71" s="21">
        <v>10000</v>
      </c>
      <c r="D71" s="19">
        <v>41764</v>
      </c>
      <c r="E71" s="6" t="s">
        <v>106</v>
      </c>
      <c r="F71" s="6" t="s">
        <v>78</v>
      </c>
      <c r="G71" s="6" t="s">
        <v>45</v>
      </c>
      <c r="H71" s="6" t="s">
        <v>29</v>
      </c>
    </row>
    <row r="72" spans="1:8" x14ac:dyDescent="0.35">
      <c r="A72" s="6" t="s">
        <v>5</v>
      </c>
      <c r="B72" s="6" t="s">
        <v>18</v>
      </c>
      <c r="C72" s="21">
        <v>592</v>
      </c>
      <c r="D72" s="19">
        <v>41765</v>
      </c>
      <c r="E72" s="6" t="s">
        <v>13</v>
      </c>
      <c r="F72" s="6" t="s">
        <v>66</v>
      </c>
      <c r="G72" s="6" t="s">
        <v>28</v>
      </c>
      <c r="H72" s="6" t="s">
        <v>38</v>
      </c>
    </row>
    <row r="73" spans="1:8" x14ac:dyDescent="0.35">
      <c r="A73" s="6" t="s">
        <v>9</v>
      </c>
      <c r="B73" s="6" t="s">
        <v>18</v>
      </c>
      <c r="C73" s="21">
        <v>4330</v>
      </c>
      <c r="D73" s="19">
        <v>41767</v>
      </c>
      <c r="E73" s="6" t="s">
        <v>107</v>
      </c>
      <c r="F73" s="6" t="s">
        <v>99</v>
      </c>
      <c r="G73" s="6" t="s">
        <v>28</v>
      </c>
      <c r="H73" s="6" t="s">
        <v>46</v>
      </c>
    </row>
    <row r="74" spans="1:8" x14ac:dyDescent="0.35">
      <c r="A74" s="6" t="s">
        <v>5</v>
      </c>
      <c r="B74" s="6" t="s">
        <v>16</v>
      </c>
      <c r="C74" s="21">
        <v>9405</v>
      </c>
      <c r="D74" s="19">
        <v>41767</v>
      </c>
      <c r="E74" s="6" t="s">
        <v>108</v>
      </c>
      <c r="F74" s="6" t="s">
        <v>99</v>
      </c>
      <c r="G74" s="6" t="s">
        <v>28</v>
      </c>
      <c r="H74" s="6" t="s">
        <v>29</v>
      </c>
    </row>
    <row r="75" spans="1:8" x14ac:dyDescent="0.35">
      <c r="A75" s="6" t="s">
        <v>10</v>
      </c>
      <c r="B75" s="6" t="s">
        <v>18</v>
      </c>
      <c r="C75" s="21">
        <v>7671</v>
      </c>
      <c r="D75" s="19">
        <v>41767</v>
      </c>
      <c r="E75" s="6" t="s">
        <v>109</v>
      </c>
      <c r="F75" s="6" t="s">
        <v>50</v>
      </c>
      <c r="G75" s="6" t="s">
        <v>41</v>
      </c>
      <c r="H75" s="6" t="s">
        <v>42</v>
      </c>
    </row>
    <row r="76" spans="1:8" x14ac:dyDescent="0.35">
      <c r="A76" s="6" t="s">
        <v>7</v>
      </c>
      <c r="B76" s="6" t="s">
        <v>19</v>
      </c>
      <c r="C76" s="21">
        <v>5791</v>
      </c>
      <c r="D76" s="19">
        <v>41767</v>
      </c>
      <c r="E76" s="6" t="s">
        <v>43</v>
      </c>
      <c r="F76" s="6" t="s">
        <v>44</v>
      </c>
      <c r="G76" s="6" t="s">
        <v>45</v>
      </c>
      <c r="H76" s="6" t="s">
        <v>34</v>
      </c>
    </row>
    <row r="77" spans="1:8" x14ac:dyDescent="0.35">
      <c r="A77" s="6" t="s">
        <v>5</v>
      </c>
      <c r="B77" s="6" t="s">
        <v>18</v>
      </c>
      <c r="C77" s="21">
        <v>6007</v>
      </c>
      <c r="D77" s="19">
        <v>41771</v>
      </c>
      <c r="E77" s="6" t="s">
        <v>110</v>
      </c>
      <c r="F77" s="6" t="s">
        <v>50</v>
      </c>
      <c r="G77" s="6" t="s">
        <v>41</v>
      </c>
      <c r="H77" s="6" t="s">
        <v>29</v>
      </c>
    </row>
    <row r="78" spans="1:8" x14ac:dyDescent="0.35">
      <c r="A78" s="6" t="s">
        <v>5</v>
      </c>
      <c r="B78" s="6" t="s">
        <v>18</v>
      </c>
      <c r="C78" s="21">
        <v>5030</v>
      </c>
      <c r="D78" s="19">
        <v>41773</v>
      </c>
      <c r="E78" s="6" t="s">
        <v>58</v>
      </c>
      <c r="F78" s="6" t="s">
        <v>57</v>
      </c>
      <c r="G78" s="6" t="s">
        <v>41</v>
      </c>
      <c r="H78" s="6" t="s">
        <v>42</v>
      </c>
    </row>
    <row r="79" spans="1:8" x14ac:dyDescent="0.35">
      <c r="A79" s="6" t="s">
        <v>7</v>
      </c>
      <c r="B79" s="6" t="s">
        <v>15</v>
      </c>
      <c r="C79" s="21">
        <v>6763</v>
      </c>
      <c r="D79" s="19">
        <v>41773</v>
      </c>
      <c r="E79" s="6" t="s">
        <v>54</v>
      </c>
      <c r="F79" s="6" t="s">
        <v>50</v>
      </c>
      <c r="G79" s="6" t="s">
        <v>41</v>
      </c>
      <c r="H79" s="6" t="s">
        <v>42</v>
      </c>
    </row>
    <row r="80" spans="1:8" x14ac:dyDescent="0.35">
      <c r="A80" s="6" t="s">
        <v>5</v>
      </c>
      <c r="B80" s="6" t="s">
        <v>18</v>
      </c>
      <c r="C80" s="21">
        <v>4248</v>
      </c>
      <c r="D80" s="19">
        <v>41774</v>
      </c>
      <c r="E80" s="6" t="s">
        <v>111</v>
      </c>
      <c r="F80" s="6" t="s">
        <v>50</v>
      </c>
      <c r="G80" s="6" t="s">
        <v>41</v>
      </c>
      <c r="H80" s="6" t="s">
        <v>29</v>
      </c>
    </row>
    <row r="81" spans="1:8" x14ac:dyDescent="0.35">
      <c r="A81" s="6" t="s">
        <v>5</v>
      </c>
      <c r="B81" s="6" t="s">
        <v>18</v>
      </c>
      <c r="C81" s="21">
        <v>9543</v>
      </c>
      <c r="D81" s="19">
        <v>41775</v>
      </c>
      <c r="E81" s="6" t="s">
        <v>112</v>
      </c>
      <c r="F81" s="6" t="s">
        <v>31</v>
      </c>
      <c r="G81" s="6" t="s">
        <v>28</v>
      </c>
      <c r="H81" s="6" t="s">
        <v>29</v>
      </c>
    </row>
    <row r="82" spans="1:8" x14ac:dyDescent="0.35">
      <c r="A82" s="6" t="s">
        <v>4</v>
      </c>
      <c r="B82" s="6" t="s">
        <v>18</v>
      </c>
      <c r="C82" s="21">
        <v>2054</v>
      </c>
      <c r="D82" s="19">
        <v>41775</v>
      </c>
      <c r="E82" s="6" t="s">
        <v>113</v>
      </c>
      <c r="F82" s="6" t="s">
        <v>69</v>
      </c>
      <c r="G82" s="6" t="s">
        <v>41</v>
      </c>
      <c r="H82" s="6" t="s">
        <v>38</v>
      </c>
    </row>
    <row r="83" spans="1:8" x14ac:dyDescent="0.35">
      <c r="A83" s="6" t="s">
        <v>6</v>
      </c>
      <c r="B83" s="6" t="s">
        <v>18</v>
      </c>
      <c r="C83" s="21">
        <v>7094</v>
      </c>
      <c r="D83" s="19">
        <v>41775</v>
      </c>
      <c r="E83" s="6" t="s">
        <v>114</v>
      </c>
      <c r="F83" s="6" t="s">
        <v>40</v>
      </c>
      <c r="G83" s="6" t="s">
        <v>41</v>
      </c>
      <c r="H83" s="6" t="s">
        <v>46</v>
      </c>
    </row>
    <row r="84" spans="1:8" x14ac:dyDescent="0.35">
      <c r="A84" s="6" t="s">
        <v>7</v>
      </c>
      <c r="B84" s="6" t="s">
        <v>18</v>
      </c>
      <c r="C84" s="21">
        <v>6087</v>
      </c>
      <c r="D84" s="19">
        <v>41777</v>
      </c>
      <c r="E84" s="6" t="s">
        <v>64</v>
      </c>
      <c r="F84" s="6" t="s">
        <v>57</v>
      </c>
      <c r="G84" s="6" t="s">
        <v>41</v>
      </c>
      <c r="H84" s="6" t="s">
        <v>46</v>
      </c>
    </row>
    <row r="85" spans="1:8" x14ac:dyDescent="0.35">
      <c r="A85" s="6" t="s">
        <v>10</v>
      </c>
      <c r="B85" s="6" t="s">
        <v>18</v>
      </c>
      <c r="C85" s="21">
        <v>4264</v>
      </c>
      <c r="D85" s="19">
        <v>41778</v>
      </c>
      <c r="E85" s="6" t="s">
        <v>115</v>
      </c>
      <c r="F85" s="6" t="s">
        <v>69</v>
      </c>
      <c r="G85" s="6" t="s">
        <v>41</v>
      </c>
      <c r="H85" s="6" t="s">
        <v>46</v>
      </c>
    </row>
    <row r="86" spans="1:8" x14ac:dyDescent="0.35">
      <c r="A86" s="6" t="s">
        <v>8</v>
      </c>
      <c r="B86" s="6" t="s">
        <v>15</v>
      </c>
      <c r="C86" s="21">
        <v>9333</v>
      </c>
      <c r="D86" s="19">
        <v>41779</v>
      </c>
      <c r="E86" s="6" t="s">
        <v>49</v>
      </c>
      <c r="F86" s="6" t="s">
        <v>50</v>
      </c>
      <c r="G86" s="6" t="s">
        <v>41</v>
      </c>
      <c r="H86" s="6" t="s">
        <v>34</v>
      </c>
    </row>
    <row r="87" spans="1:8" x14ac:dyDescent="0.35">
      <c r="A87" s="6" t="s">
        <v>8</v>
      </c>
      <c r="B87" s="6" t="s">
        <v>18</v>
      </c>
      <c r="C87" s="21">
        <v>8775</v>
      </c>
      <c r="D87" s="19">
        <v>41781</v>
      </c>
      <c r="E87" s="6" t="s">
        <v>116</v>
      </c>
      <c r="F87" s="6" t="s">
        <v>57</v>
      </c>
      <c r="G87" s="6" t="s">
        <v>41</v>
      </c>
      <c r="H87" s="6" t="s">
        <v>29</v>
      </c>
    </row>
    <row r="88" spans="1:8" x14ac:dyDescent="0.35">
      <c r="A88" s="6" t="s">
        <v>4</v>
      </c>
      <c r="B88" s="6" t="s">
        <v>16</v>
      </c>
      <c r="C88" s="21">
        <v>2011</v>
      </c>
      <c r="D88" s="19">
        <v>41782</v>
      </c>
      <c r="E88" s="6" t="s">
        <v>51</v>
      </c>
      <c r="F88" s="6" t="s">
        <v>52</v>
      </c>
      <c r="G88" s="6" t="s">
        <v>53</v>
      </c>
      <c r="H88" s="6" t="s">
        <v>34</v>
      </c>
    </row>
    <row r="89" spans="1:8" x14ac:dyDescent="0.35">
      <c r="A89" s="6" t="s">
        <v>5</v>
      </c>
      <c r="B89" s="6" t="s">
        <v>18</v>
      </c>
      <c r="C89" s="21">
        <v>5632</v>
      </c>
      <c r="D89" s="19">
        <v>41784</v>
      </c>
      <c r="E89" s="6" t="s">
        <v>117</v>
      </c>
      <c r="F89" s="6" t="s">
        <v>57</v>
      </c>
      <c r="G89" s="6" t="s">
        <v>41</v>
      </c>
      <c r="H89" s="6" t="s">
        <v>34</v>
      </c>
    </row>
    <row r="90" spans="1:8" x14ac:dyDescent="0.35">
      <c r="A90" s="6" t="s">
        <v>6</v>
      </c>
      <c r="B90" s="6" t="s">
        <v>183</v>
      </c>
      <c r="C90" s="21">
        <v>1002</v>
      </c>
      <c r="D90" s="19">
        <v>41784</v>
      </c>
      <c r="E90" s="6" t="s">
        <v>65</v>
      </c>
      <c r="F90" s="6" t="s">
        <v>66</v>
      </c>
      <c r="G90" s="6" t="s">
        <v>28</v>
      </c>
      <c r="H90" s="6" t="s">
        <v>29</v>
      </c>
    </row>
    <row r="91" spans="1:8" x14ac:dyDescent="0.35">
      <c r="A91" s="6" t="s">
        <v>9</v>
      </c>
      <c r="B91" s="6" t="s">
        <v>18</v>
      </c>
      <c r="C91" s="21">
        <v>8141</v>
      </c>
      <c r="D91" s="19">
        <v>41785</v>
      </c>
      <c r="E91" s="6" t="s">
        <v>118</v>
      </c>
      <c r="F91" s="6" t="s">
        <v>57</v>
      </c>
      <c r="G91" s="6" t="s">
        <v>41</v>
      </c>
      <c r="H91" s="6" t="s">
        <v>38</v>
      </c>
    </row>
    <row r="92" spans="1:8" x14ac:dyDescent="0.35">
      <c r="A92" s="6" t="s">
        <v>9</v>
      </c>
      <c r="B92" s="6" t="s">
        <v>18</v>
      </c>
      <c r="C92" s="21">
        <v>3644</v>
      </c>
      <c r="D92" s="19">
        <v>41785</v>
      </c>
      <c r="E92" s="6" t="s">
        <v>74</v>
      </c>
      <c r="F92" s="6" t="s">
        <v>36</v>
      </c>
      <c r="G92" s="6" t="s">
        <v>37</v>
      </c>
      <c r="H92" s="6" t="s">
        <v>46</v>
      </c>
    </row>
    <row r="93" spans="1:8" x14ac:dyDescent="0.35">
      <c r="A93" s="6" t="s">
        <v>9</v>
      </c>
      <c r="B93" s="6" t="s">
        <v>18</v>
      </c>
      <c r="C93" s="21">
        <v>1380</v>
      </c>
      <c r="D93" s="19">
        <v>41785</v>
      </c>
      <c r="E93" s="6" t="s">
        <v>119</v>
      </c>
      <c r="F93" s="6" t="s">
        <v>120</v>
      </c>
      <c r="G93" s="6" t="s">
        <v>41</v>
      </c>
      <c r="H93" s="6" t="s">
        <v>29</v>
      </c>
    </row>
    <row r="94" spans="1:8" x14ac:dyDescent="0.35">
      <c r="A94" s="6" t="s">
        <v>4</v>
      </c>
      <c r="B94" s="6" t="s">
        <v>16</v>
      </c>
      <c r="C94" s="21">
        <v>8354</v>
      </c>
      <c r="D94" s="19">
        <v>41785</v>
      </c>
      <c r="E94" s="6" t="s">
        <v>87</v>
      </c>
      <c r="F94" s="6" t="s">
        <v>52</v>
      </c>
      <c r="G94" s="6" t="s">
        <v>53</v>
      </c>
      <c r="H94" s="6" t="s">
        <v>42</v>
      </c>
    </row>
    <row r="95" spans="1:8" x14ac:dyDescent="0.35">
      <c r="A95" s="6" t="s">
        <v>5</v>
      </c>
      <c r="B95" s="6" t="s">
        <v>16</v>
      </c>
      <c r="C95" s="21">
        <v>5182</v>
      </c>
      <c r="D95" s="19">
        <v>41786</v>
      </c>
      <c r="E95" s="6" t="s">
        <v>121</v>
      </c>
      <c r="F95" s="6" t="s">
        <v>122</v>
      </c>
      <c r="G95" s="6" t="s">
        <v>37</v>
      </c>
      <c r="H95" s="6" t="s">
        <v>34</v>
      </c>
    </row>
    <row r="96" spans="1:8" x14ac:dyDescent="0.35">
      <c r="A96" s="6" t="s">
        <v>10</v>
      </c>
      <c r="B96" s="6" t="s">
        <v>18</v>
      </c>
      <c r="C96" s="21">
        <v>2193</v>
      </c>
      <c r="D96" s="19">
        <v>41786</v>
      </c>
      <c r="E96" s="6" t="s">
        <v>123</v>
      </c>
      <c r="F96" s="6" t="s">
        <v>84</v>
      </c>
      <c r="G96" s="6" t="s">
        <v>28</v>
      </c>
      <c r="H96" s="6" t="s">
        <v>29</v>
      </c>
    </row>
    <row r="97" spans="1:8" x14ac:dyDescent="0.35">
      <c r="A97" s="6" t="s">
        <v>8</v>
      </c>
      <c r="B97" s="6" t="s">
        <v>18</v>
      </c>
      <c r="C97" s="21">
        <v>3647</v>
      </c>
      <c r="D97" s="19">
        <v>41787</v>
      </c>
      <c r="E97" s="6" t="s">
        <v>124</v>
      </c>
      <c r="F97" s="6" t="s">
        <v>62</v>
      </c>
      <c r="G97" s="6" t="s">
        <v>63</v>
      </c>
      <c r="H97" s="6" t="s">
        <v>42</v>
      </c>
    </row>
    <row r="98" spans="1:8" x14ac:dyDescent="0.35">
      <c r="A98" s="6" t="s">
        <v>10</v>
      </c>
      <c r="B98" s="6" t="s">
        <v>18</v>
      </c>
      <c r="C98" s="21">
        <v>4104</v>
      </c>
      <c r="D98" s="19">
        <v>41787</v>
      </c>
      <c r="E98" s="6" t="s">
        <v>125</v>
      </c>
      <c r="F98" s="6" t="s">
        <v>44</v>
      </c>
      <c r="G98" s="6" t="s">
        <v>45</v>
      </c>
      <c r="H98" s="6" t="s">
        <v>42</v>
      </c>
    </row>
    <row r="99" spans="1:8" x14ac:dyDescent="0.35">
      <c r="A99" s="6" t="s">
        <v>7</v>
      </c>
      <c r="B99" s="6" t="s">
        <v>18</v>
      </c>
      <c r="C99" s="21">
        <v>7457</v>
      </c>
      <c r="D99" s="19">
        <v>41787</v>
      </c>
      <c r="E99" s="6" t="s">
        <v>126</v>
      </c>
      <c r="F99" s="6" t="s">
        <v>31</v>
      </c>
      <c r="G99" s="6" t="s">
        <v>28</v>
      </c>
      <c r="H99" s="6" t="s">
        <v>29</v>
      </c>
    </row>
    <row r="100" spans="1:8" x14ac:dyDescent="0.35">
      <c r="A100" s="6" t="s">
        <v>8</v>
      </c>
      <c r="B100" s="6" t="s">
        <v>18</v>
      </c>
      <c r="C100" s="21">
        <v>3767</v>
      </c>
      <c r="D100" s="19">
        <v>41788</v>
      </c>
      <c r="E100" s="6" t="s">
        <v>115</v>
      </c>
      <c r="F100" s="6" t="s">
        <v>69</v>
      </c>
      <c r="G100" s="6" t="s">
        <v>41</v>
      </c>
      <c r="H100" s="6" t="s">
        <v>29</v>
      </c>
    </row>
    <row r="101" spans="1:8" x14ac:dyDescent="0.35">
      <c r="A101" s="6" t="s">
        <v>4</v>
      </c>
      <c r="B101" s="6" t="s">
        <v>18</v>
      </c>
      <c r="C101" s="21">
        <v>4685</v>
      </c>
      <c r="D101" s="19">
        <v>41789</v>
      </c>
      <c r="E101" s="6" t="s">
        <v>95</v>
      </c>
      <c r="F101" s="6" t="s">
        <v>36</v>
      </c>
      <c r="G101" s="6" t="s">
        <v>37</v>
      </c>
      <c r="H101" s="6" t="s">
        <v>38</v>
      </c>
    </row>
    <row r="102" spans="1:8" x14ac:dyDescent="0.35">
      <c r="A102" s="6" t="s">
        <v>5</v>
      </c>
      <c r="B102" s="6" t="s">
        <v>16</v>
      </c>
      <c r="C102" s="21">
        <v>3917</v>
      </c>
      <c r="D102" s="19">
        <v>41794</v>
      </c>
      <c r="E102" s="6" t="s">
        <v>127</v>
      </c>
      <c r="F102" s="6" t="s">
        <v>128</v>
      </c>
      <c r="G102" s="6" t="s">
        <v>28</v>
      </c>
      <c r="H102" s="6" t="s">
        <v>46</v>
      </c>
    </row>
    <row r="103" spans="1:8" x14ac:dyDescent="0.35">
      <c r="A103" s="6" t="s">
        <v>10</v>
      </c>
      <c r="B103" s="6" t="s">
        <v>18</v>
      </c>
      <c r="C103" s="21">
        <v>521</v>
      </c>
      <c r="D103" s="19">
        <v>41794</v>
      </c>
      <c r="E103" s="6" t="s">
        <v>129</v>
      </c>
      <c r="F103" s="6" t="s">
        <v>44</v>
      </c>
      <c r="G103" s="6" t="s">
        <v>45</v>
      </c>
      <c r="H103" s="6" t="s">
        <v>46</v>
      </c>
    </row>
    <row r="104" spans="1:8" x14ac:dyDescent="0.35">
      <c r="A104" s="6" t="s">
        <v>10</v>
      </c>
      <c r="B104" s="6" t="s">
        <v>18</v>
      </c>
      <c r="C104" s="21">
        <v>5605</v>
      </c>
      <c r="D104" s="19">
        <v>41800</v>
      </c>
      <c r="E104" s="6" t="s">
        <v>130</v>
      </c>
      <c r="F104" s="6" t="s">
        <v>69</v>
      </c>
      <c r="G104" s="6" t="s">
        <v>41</v>
      </c>
      <c r="H104" s="6" t="s">
        <v>46</v>
      </c>
    </row>
    <row r="105" spans="1:8" x14ac:dyDescent="0.35">
      <c r="A105" s="6" t="s">
        <v>4</v>
      </c>
      <c r="B105" s="6" t="s">
        <v>18</v>
      </c>
      <c r="C105" s="21">
        <v>9630</v>
      </c>
      <c r="D105" s="19">
        <v>41801</v>
      </c>
      <c r="E105" s="6" t="s">
        <v>131</v>
      </c>
      <c r="F105" s="6" t="s">
        <v>50</v>
      </c>
      <c r="G105" s="6" t="s">
        <v>41</v>
      </c>
      <c r="H105" s="6" t="s">
        <v>34</v>
      </c>
    </row>
    <row r="106" spans="1:8" x14ac:dyDescent="0.35">
      <c r="A106" s="6" t="s">
        <v>5</v>
      </c>
      <c r="B106" s="6" t="s">
        <v>18</v>
      </c>
      <c r="C106" s="21">
        <v>6941</v>
      </c>
      <c r="D106" s="19">
        <v>41810</v>
      </c>
      <c r="E106" s="6" t="s">
        <v>88</v>
      </c>
      <c r="F106" s="6" t="s">
        <v>48</v>
      </c>
      <c r="G106" s="6" t="s">
        <v>37</v>
      </c>
      <c r="H106" s="6" t="s">
        <v>29</v>
      </c>
    </row>
    <row r="107" spans="1:8" x14ac:dyDescent="0.35">
      <c r="A107" s="6" t="s">
        <v>4</v>
      </c>
      <c r="B107" s="6" t="s">
        <v>15</v>
      </c>
      <c r="C107" s="21">
        <v>7231</v>
      </c>
      <c r="D107" s="19">
        <v>41810</v>
      </c>
      <c r="E107" s="6" t="s">
        <v>132</v>
      </c>
      <c r="F107" s="6" t="s">
        <v>50</v>
      </c>
      <c r="G107" s="6" t="s">
        <v>41</v>
      </c>
      <c r="H107" s="6" t="s">
        <v>34</v>
      </c>
    </row>
    <row r="108" spans="1:8" x14ac:dyDescent="0.35">
      <c r="A108" s="6" t="s">
        <v>4</v>
      </c>
      <c r="B108" s="6" t="s">
        <v>18</v>
      </c>
      <c r="C108" s="21">
        <v>8891</v>
      </c>
      <c r="D108" s="19">
        <v>41813</v>
      </c>
      <c r="E108" s="6" t="s">
        <v>133</v>
      </c>
      <c r="F108" s="6" t="s">
        <v>134</v>
      </c>
      <c r="G108" s="6" t="s">
        <v>63</v>
      </c>
      <c r="H108" s="6" t="s">
        <v>34</v>
      </c>
    </row>
    <row r="109" spans="1:8" x14ac:dyDescent="0.35">
      <c r="A109" s="6" t="s">
        <v>5</v>
      </c>
      <c r="B109" s="6" t="s">
        <v>16</v>
      </c>
      <c r="C109" s="21">
        <v>107</v>
      </c>
      <c r="D109" s="19">
        <v>41815</v>
      </c>
      <c r="E109" s="6" t="s">
        <v>104</v>
      </c>
      <c r="F109" s="6" t="s">
        <v>57</v>
      </c>
      <c r="G109" s="6" t="s">
        <v>41</v>
      </c>
      <c r="H109" s="6" t="s">
        <v>29</v>
      </c>
    </row>
    <row r="110" spans="1:8" x14ac:dyDescent="0.35">
      <c r="A110" s="6" t="s">
        <v>5</v>
      </c>
      <c r="B110" s="6" t="s">
        <v>16</v>
      </c>
      <c r="C110" s="21">
        <v>4243</v>
      </c>
      <c r="D110" s="19">
        <v>41816</v>
      </c>
      <c r="E110" s="6" t="s">
        <v>135</v>
      </c>
      <c r="F110" s="6" t="s">
        <v>50</v>
      </c>
      <c r="G110" s="6" t="s">
        <v>41</v>
      </c>
      <c r="H110" s="6" t="s">
        <v>38</v>
      </c>
    </row>
    <row r="111" spans="1:8" x14ac:dyDescent="0.35">
      <c r="A111" s="6" t="s">
        <v>9</v>
      </c>
      <c r="B111" s="6" t="s">
        <v>183</v>
      </c>
      <c r="C111" s="21">
        <v>4514</v>
      </c>
      <c r="D111" s="19">
        <v>41817</v>
      </c>
      <c r="E111" s="6" t="s">
        <v>136</v>
      </c>
      <c r="F111" s="6" t="s">
        <v>36</v>
      </c>
      <c r="G111" s="6" t="s">
        <v>37</v>
      </c>
      <c r="H111" s="6" t="s">
        <v>46</v>
      </c>
    </row>
    <row r="112" spans="1:8" x14ac:dyDescent="0.35">
      <c r="A112" s="6" t="s">
        <v>8</v>
      </c>
      <c r="B112" s="6" t="s">
        <v>18</v>
      </c>
      <c r="C112" s="21">
        <v>5480</v>
      </c>
      <c r="D112" s="19">
        <v>41822</v>
      </c>
      <c r="E112" s="6" t="s">
        <v>61</v>
      </c>
      <c r="F112" s="6" t="s">
        <v>62</v>
      </c>
      <c r="G112" s="6" t="s">
        <v>63</v>
      </c>
      <c r="H112" s="6" t="s">
        <v>29</v>
      </c>
    </row>
    <row r="113" spans="1:8" x14ac:dyDescent="0.35">
      <c r="A113" s="6" t="s">
        <v>5</v>
      </c>
      <c r="B113" s="6" t="s">
        <v>183</v>
      </c>
      <c r="C113" s="21">
        <v>5002</v>
      </c>
      <c r="D113" s="19">
        <v>41822</v>
      </c>
      <c r="E113" s="6" t="s">
        <v>30</v>
      </c>
      <c r="F113" s="6" t="s">
        <v>31</v>
      </c>
      <c r="G113" s="6" t="s">
        <v>28</v>
      </c>
      <c r="H113" s="6" t="s">
        <v>42</v>
      </c>
    </row>
    <row r="114" spans="1:8" x14ac:dyDescent="0.35">
      <c r="A114" s="6" t="s">
        <v>5</v>
      </c>
      <c r="B114" s="6" t="s">
        <v>18</v>
      </c>
      <c r="C114" s="21">
        <v>8530</v>
      </c>
      <c r="D114" s="19">
        <v>41825</v>
      </c>
      <c r="E114" s="6" t="s">
        <v>98</v>
      </c>
      <c r="F114" s="6" t="s">
        <v>99</v>
      </c>
      <c r="G114" s="6" t="s">
        <v>28</v>
      </c>
      <c r="H114" s="6" t="s">
        <v>34</v>
      </c>
    </row>
    <row r="115" spans="1:8" x14ac:dyDescent="0.35">
      <c r="A115" s="6" t="s">
        <v>4</v>
      </c>
      <c r="B115" s="6" t="s">
        <v>18</v>
      </c>
      <c r="C115" s="21">
        <v>6343</v>
      </c>
      <c r="D115" s="19">
        <v>41831</v>
      </c>
      <c r="E115" s="6" t="s">
        <v>137</v>
      </c>
      <c r="F115" s="6" t="s">
        <v>50</v>
      </c>
      <c r="G115" s="6" t="s">
        <v>41</v>
      </c>
      <c r="H115" s="6" t="s">
        <v>29</v>
      </c>
    </row>
    <row r="116" spans="1:8" x14ac:dyDescent="0.35">
      <c r="A116" s="6" t="s">
        <v>9</v>
      </c>
      <c r="B116" s="6" t="s">
        <v>15</v>
      </c>
      <c r="C116" s="21">
        <v>2318</v>
      </c>
      <c r="D116" s="19">
        <v>41833</v>
      </c>
      <c r="E116" s="6" t="s">
        <v>138</v>
      </c>
      <c r="F116" s="6" t="s">
        <v>50</v>
      </c>
      <c r="G116" s="6" t="s">
        <v>41</v>
      </c>
      <c r="H116" s="6" t="s">
        <v>42</v>
      </c>
    </row>
    <row r="117" spans="1:8" x14ac:dyDescent="0.35">
      <c r="A117" s="6" t="s">
        <v>9</v>
      </c>
      <c r="B117" s="6" t="s">
        <v>18</v>
      </c>
      <c r="C117" s="21">
        <v>220</v>
      </c>
      <c r="D117" s="19">
        <v>41840</v>
      </c>
      <c r="E117" s="6" t="s">
        <v>139</v>
      </c>
      <c r="F117" s="6" t="s">
        <v>48</v>
      </c>
      <c r="G117" s="6" t="s">
        <v>37</v>
      </c>
      <c r="H117" s="6" t="s">
        <v>42</v>
      </c>
    </row>
    <row r="118" spans="1:8" x14ac:dyDescent="0.35">
      <c r="A118" s="6" t="s">
        <v>10</v>
      </c>
      <c r="B118" s="6" t="s">
        <v>18</v>
      </c>
      <c r="C118" s="21">
        <v>330</v>
      </c>
      <c r="D118" s="19">
        <v>41840</v>
      </c>
      <c r="E118" s="6" t="s">
        <v>140</v>
      </c>
      <c r="F118" s="6" t="s">
        <v>50</v>
      </c>
      <c r="G118" s="6" t="s">
        <v>41</v>
      </c>
      <c r="H118" s="6" t="s">
        <v>29</v>
      </c>
    </row>
    <row r="119" spans="1:8" x14ac:dyDescent="0.35">
      <c r="A119" s="6" t="s">
        <v>4</v>
      </c>
      <c r="B119" s="6" t="s">
        <v>18</v>
      </c>
      <c r="C119" s="21">
        <v>3027</v>
      </c>
      <c r="D119" s="19">
        <v>41840</v>
      </c>
      <c r="E119" s="6" t="s">
        <v>141</v>
      </c>
      <c r="F119" s="6" t="s">
        <v>44</v>
      </c>
      <c r="G119" s="6" t="s">
        <v>45</v>
      </c>
      <c r="H119" s="6" t="s">
        <v>29</v>
      </c>
    </row>
    <row r="120" spans="1:8" x14ac:dyDescent="0.35">
      <c r="A120" s="6" t="s">
        <v>5</v>
      </c>
      <c r="B120" s="6" t="s">
        <v>18</v>
      </c>
      <c r="C120" s="21">
        <v>8986</v>
      </c>
      <c r="D120" s="19">
        <v>41843</v>
      </c>
      <c r="E120" s="6" t="s">
        <v>142</v>
      </c>
      <c r="F120" s="6" t="s">
        <v>50</v>
      </c>
      <c r="G120" s="6" t="s">
        <v>41</v>
      </c>
      <c r="H120" s="6" t="s">
        <v>38</v>
      </c>
    </row>
    <row r="121" spans="1:8" x14ac:dyDescent="0.35">
      <c r="A121" s="6" t="s">
        <v>4</v>
      </c>
      <c r="B121" s="6" t="s">
        <v>16</v>
      </c>
      <c r="C121" s="21">
        <v>3800</v>
      </c>
      <c r="D121" s="19">
        <v>41845</v>
      </c>
      <c r="E121" s="6" t="s">
        <v>143</v>
      </c>
      <c r="F121" s="6" t="s">
        <v>57</v>
      </c>
      <c r="G121" s="6" t="s">
        <v>41</v>
      </c>
      <c r="H121" s="6" t="s">
        <v>46</v>
      </c>
    </row>
    <row r="122" spans="1:8" x14ac:dyDescent="0.35">
      <c r="A122" s="6" t="s">
        <v>7</v>
      </c>
      <c r="B122" s="6" t="s">
        <v>183</v>
      </c>
      <c r="C122" s="21">
        <v>5751</v>
      </c>
      <c r="D122" s="19">
        <v>41848</v>
      </c>
      <c r="E122" s="6" t="s">
        <v>93</v>
      </c>
      <c r="F122" s="6" t="s">
        <v>78</v>
      </c>
      <c r="G122" s="6" t="s">
        <v>45</v>
      </c>
      <c r="H122" s="6" t="s">
        <v>46</v>
      </c>
    </row>
    <row r="123" spans="1:8" x14ac:dyDescent="0.35">
      <c r="A123" s="6" t="s">
        <v>10</v>
      </c>
      <c r="B123" s="6" t="s">
        <v>183</v>
      </c>
      <c r="C123" s="21">
        <v>1704</v>
      </c>
      <c r="D123" s="19">
        <v>41849</v>
      </c>
      <c r="E123" s="6" t="s">
        <v>144</v>
      </c>
      <c r="F123" s="6" t="s">
        <v>120</v>
      </c>
      <c r="G123" s="6" t="s">
        <v>41</v>
      </c>
      <c r="H123" s="6" t="s">
        <v>46</v>
      </c>
    </row>
    <row r="124" spans="1:8" x14ac:dyDescent="0.35">
      <c r="A124" s="6" t="s">
        <v>5</v>
      </c>
      <c r="B124" s="6" t="s">
        <v>16</v>
      </c>
      <c r="C124" s="21">
        <v>7966</v>
      </c>
      <c r="D124" s="19">
        <v>41850</v>
      </c>
      <c r="E124" s="6" t="s">
        <v>145</v>
      </c>
      <c r="F124" s="6" t="s">
        <v>62</v>
      </c>
      <c r="G124" s="6" t="s">
        <v>63</v>
      </c>
      <c r="H124" s="6" t="s">
        <v>34</v>
      </c>
    </row>
    <row r="125" spans="1:8" x14ac:dyDescent="0.35">
      <c r="A125" s="6" t="s">
        <v>5</v>
      </c>
      <c r="B125" s="6" t="s">
        <v>16</v>
      </c>
      <c r="C125" s="21">
        <v>852</v>
      </c>
      <c r="D125" s="19">
        <v>41851</v>
      </c>
      <c r="E125" s="6" t="s">
        <v>54</v>
      </c>
      <c r="F125" s="6" t="s">
        <v>50</v>
      </c>
      <c r="G125" s="6" t="s">
        <v>41</v>
      </c>
      <c r="H125" s="6" t="s">
        <v>29</v>
      </c>
    </row>
    <row r="126" spans="1:8" x14ac:dyDescent="0.35">
      <c r="A126" s="6" t="s">
        <v>6</v>
      </c>
      <c r="B126" s="6" t="s">
        <v>16</v>
      </c>
      <c r="C126" s="21">
        <v>8416</v>
      </c>
      <c r="D126" s="19">
        <v>41851</v>
      </c>
      <c r="E126" s="6" t="s">
        <v>146</v>
      </c>
      <c r="F126" s="6" t="s">
        <v>72</v>
      </c>
      <c r="G126" s="6" t="s">
        <v>41</v>
      </c>
      <c r="H126" s="6" t="s">
        <v>34</v>
      </c>
    </row>
    <row r="127" spans="1:8" x14ac:dyDescent="0.35">
      <c r="A127" s="6" t="s">
        <v>5</v>
      </c>
      <c r="B127" s="6" t="s">
        <v>16</v>
      </c>
      <c r="C127" s="21">
        <v>7144</v>
      </c>
      <c r="D127" s="19">
        <v>41852</v>
      </c>
      <c r="E127" s="6" t="s">
        <v>56</v>
      </c>
      <c r="F127" s="6" t="s">
        <v>57</v>
      </c>
      <c r="G127" s="6" t="s">
        <v>41</v>
      </c>
      <c r="H127" s="6" t="s">
        <v>34</v>
      </c>
    </row>
    <row r="128" spans="1:8" x14ac:dyDescent="0.35">
      <c r="A128" s="6" t="s">
        <v>4</v>
      </c>
      <c r="B128" s="6" t="s">
        <v>16</v>
      </c>
      <c r="C128" s="21">
        <v>7854</v>
      </c>
      <c r="D128" s="19">
        <v>41852</v>
      </c>
      <c r="E128" s="6" t="s">
        <v>147</v>
      </c>
      <c r="F128" s="6" t="s">
        <v>148</v>
      </c>
      <c r="G128" s="6" t="s">
        <v>63</v>
      </c>
      <c r="H128" s="6" t="s">
        <v>29</v>
      </c>
    </row>
    <row r="129" spans="1:8" x14ac:dyDescent="0.35">
      <c r="A129" s="6" t="s">
        <v>9</v>
      </c>
      <c r="B129" s="6" t="s">
        <v>18</v>
      </c>
      <c r="C129" s="21">
        <v>859</v>
      </c>
      <c r="D129" s="19">
        <v>41854</v>
      </c>
      <c r="E129" s="6" t="s">
        <v>60</v>
      </c>
      <c r="F129" s="6" t="s">
        <v>36</v>
      </c>
      <c r="G129" s="6" t="s">
        <v>37</v>
      </c>
      <c r="H129" s="6" t="s">
        <v>38</v>
      </c>
    </row>
    <row r="130" spans="1:8" x14ac:dyDescent="0.35">
      <c r="A130" s="6" t="s">
        <v>4</v>
      </c>
      <c r="B130" s="6" t="s">
        <v>18</v>
      </c>
      <c r="C130" s="21">
        <v>8049</v>
      </c>
      <c r="D130" s="19">
        <v>41863</v>
      </c>
      <c r="E130" s="6" t="s">
        <v>149</v>
      </c>
      <c r="F130" s="6" t="s">
        <v>69</v>
      </c>
      <c r="G130" s="6" t="s">
        <v>41</v>
      </c>
      <c r="H130" s="6" t="s">
        <v>46</v>
      </c>
    </row>
    <row r="131" spans="1:8" x14ac:dyDescent="0.35">
      <c r="A131" s="6" t="s">
        <v>5</v>
      </c>
      <c r="B131" s="6" t="s">
        <v>18</v>
      </c>
      <c r="C131" s="21">
        <v>2836</v>
      </c>
      <c r="D131" s="19">
        <v>41864</v>
      </c>
      <c r="E131" s="6" t="s">
        <v>49</v>
      </c>
      <c r="F131" s="6" t="s">
        <v>50</v>
      </c>
      <c r="G131" s="6" t="s">
        <v>41</v>
      </c>
      <c r="H131" s="6" t="s">
        <v>29</v>
      </c>
    </row>
    <row r="132" spans="1:8" x14ac:dyDescent="0.35">
      <c r="A132" s="6" t="s">
        <v>7</v>
      </c>
      <c r="B132" s="6" t="s">
        <v>18</v>
      </c>
      <c r="C132" s="21">
        <v>1743</v>
      </c>
      <c r="D132" s="19">
        <v>41870</v>
      </c>
      <c r="E132" s="6" t="s">
        <v>89</v>
      </c>
      <c r="F132" s="6" t="s">
        <v>72</v>
      </c>
      <c r="G132" s="6" t="s">
        <v>41</v>
      </c>
      <c r="H132" s="6" t="s">
        <v>42</v>
      </c>
    </row>
    <row r="133" spans="1:8" x14ac:dyDescent="0.35">
      <c r="A133" s="6" t="s">
        <v>10</v>
      </c>
      <c r="B133" s="6" t="s">
        <v>18</v>
      </c>
      <c r="C133" s="21">
        <v>3844</v>
      </c>
      <c r="D133" s="19">
        <v>41874</v>
      </c>
      <c r="E133" s="6" t="s">
        <v>144</v>
      </c>
      <c r="F133" s="6" t="s">
        <v>120</v>
      </c>
      <c r="G133" s="6" t="s">
        <v>41</v>
      </c>
      <c r="H133" s="6" t="s">
        <v>34</v>
      </c>
    </row>
    <row r="134" spans="1:8" x14ac:dyDescent="0.35">
      <c r="A134" s="6" t="s">
        <v>10</v>
      </c>
      <c r="B134" s="6" t="s">
        <v>18</v>
      </c>
      <c r="C134" s="21">
        <v>7490</v>
      </c>
      <c r="D134" s="19">
        <v>41875</v>
      </c>
      <c r="E134" s="6" t="s">
        <v>74</v>
      </c>
      <c r="F134" s="6" t="s">
        <v>36</v>
      </c>
      <c r="G134" s="6" t="s">
        <v>37</v>
      </c>
      <c r="H134" s="6" t="s">
        <v>29</v>
      </c>
    </row>
    <row r="135" spans="1:8" x14ac:dyDescent="0.35">
      <c r="A135" s="6" t="s">
        <v>4</v>
      </c>
      <c r="B135" s="6" t="s">
        <v>16</v>
      </c>
      <c r="C135" s="21">
        <v>4483</v>
      </c>
      <c r="D135" s="19">
        <v>41876</v>
      </c>
      <c r="E135" s="6" t="s">
        <v>115</v>
      </c>
      <c r="F135" s="6" t="s">
        <v>69</v>
      </c>
      <c r="G135" s="6" t="s">
        <v>41</v>
      </c>
      <c r="H135" s="6" t="s">
        <v>42</v>
      </c>
    </row>
    <row r="136" spans="1:8" x14ac:dyDescent="0.35">
      <c r="A136" s="6" t="s">
        <v>10</v>
      </c>
      <c r="B136" s="6" t="s">
        <v>18</v>
      </c>
      <c r="C136" s="21">
        <v>7333</v>
      </c>
      <c r="D136" s="19">
        <v>41878</v>
      </c>
      <c r="E136" s="6" t="s">
        <v>58</v>
      </c>
      <c r="F136" s="6" t="s">
        <v>57</v>
      </c>
      <c r="G136" s="6" t="s">
        <v>41</v>
      </c>
      <c r="H136" s="6" t="s">
        <v>42</v>
      </c>
    </row>
    <row r="137" spans="1:8" x14ac:dyDescent="0.35">
      <c r="A137" s="6" t="s">
        <v>7</v>
      </c>
      <c r="B137" s="6" t="s">
        <v>183</v>
      </c>
      <c r="C137" s="21">
        <v>7654</v>
      </c>
      <c r="D137" s="19">
        <v>41879</v>
      </c>
      <c r="E137" s="6" t="s">
        <v>101</v>
      </c>
      <c r="F137" s="6" t="s">
        <v>48</v>
      </c>
      <c r="G137" s="6" t="s">
        <v>37</v>
      </c>
      <c r="H137" s="6" t="s">
        <v>29</v>
      </c>
    </row>
    <row r="138" spans="1:8" x14ac:dyDescent="0.35">
      <c r="A138" s="6" t="s">
        <v>10</v>
      </c>
      <c r="B138" s="6" t="s">
        <v>184</v>
      </c>
      <c r="C138" s="21">
        <v>3944</v>
      </c>
      <c r="D138" s="19">
        <v>41880</v>
      </c>
      <c r="E138" s="6" t="s">
        <v>89</v>
      </c>
      <c r="F138" s="6" t="s">
        <v>72</v>
      </c>
      <c r="G138" s="6" t="s">
        <v>41</v>
      </c>
      <c r="H138" s="6" t="s">
        <v>29</v>
      </c>
    </row>
    <row r="139" spans="1:8" x14ac:dyDescent="0.35">
      <c r="A139" s="6" t="s">
        <v>6</v>
      </c>
      <c r="B139" s="6" t="s">
        <v>18</v>
      </c>
      <c r="C139" s="21">
        <v>5761</v>
      </c>
      <c r="D139" s="19">
        <v>41880</v>
      </c>
      <c r="E139" s="6" t="s">
        <v>150</v>
      </c>
      <c r="F139" s="6" t="s">
        <v>36</v>
      </c>
      <c r="G139" s="6" t="s">
        <v>37</v>
      </c>
      <c r="H139" s="6" t="s">
        <v>38</v>
      </c>
    </row>
    <row r="140" spans="1:8" x14ac:dyDescent="0.35">
      <c r="A140" s="6" t="s">
        <v>5</v>
      </c>
      <c r="B140" s="6" t="s">
        <v>184</v>
      </c>
      <c r="C140" s="21">
        <v>4016</v>
      </c>
      <c r="D140" s="19">
        <v>41883</v>
      </c>
      <c r="E140" s="6" t="s">
        <v>54</v>
      </c>
      <c r="F140" s="6" t="s">
        <v>50</v>
      </c>
      <c r="G140" s="6" t="s">
        <v>41</v>
      </c>
      <c r="H140" s="6" t="s">
        <v>46</v>
      </c>
    </row>
    <row r="141" spans="1:8" x14ac:dyDescent="0.35">
      <c r="A141" s="6" t="s">
        <v>5</v>
      </c>
      <c r="B141" s="6" t="s">
        <v>18</v>
      </c>
      <c r="C141" s="21">
        <v>1841</v>
      </c>
      <c r="D141" s="19">
        <v>41884</v>
      </c>
      <c r="E141" s="6" t="s">
        <v>110</v>
      </c>
      <c r="F141" s="6" t="s">
        <v>50</v>
      </c>
      <c r="G141" s="6" t="s">
        <v>41</v>
      </c>
      <c r="H141" s="6" t="s">
        <v>46</v>
      </c>
    </row>
    <row r="142" spans="1:8" x14ac:dyDescent="0.35">
      <c r="A142" s="6" t="s">
        <v>5</v>
      </c>
      <c r="B142" s="6" t="s">
        <v>18</v>
      </c>
      <c r="C142" s="21">
        <v>424</v>
      </c>
      <c r="D142" s="19">
        <v>41887</v>
      </c>
      <c r="E142" s="6" t="s">
        <v>151</v>
      </c>
      <c r="F142" s="6" t="s">
        <v>62</v>
      </c>
      <c r="G142" s="6" t="s">
        <v>63</v>
      </c>
      <c r="H142" s="6" t="s">
        <v>46</v>
      </c>
    </row>
    <row r="143" spans="1:8" x14ac:dyDescent="0.35">
      <c r="A143" s="6" t="s">
        <v>5</v>
      </c>
      <c r="B143" s="6" t="s">
        <v>18</v>
      </c>
      <c r="C143" s="21">
        <v>8765</v>
      </c>
      <c r="D143" s="19">
        <v>41889</v>
      </c>
      <c r="E143" s="6" t="s">
        <v>152</v>
      </c>
      <c r="F143" s="6" t="s">
        <v>84</v>
      </c>
      <c r="G143" s="6" t="s">
        <v>28</v>
      </c>
      <c r="H143" s="6" t="s">
        <v>34</v>
      </c>
    </row>
    <row r="144" spans="1:8" x14ac:dyDescent="0.35">
      <c r="A144" s="6" t="s">
        <v>5</v>
      </c>
      <c r="B144" s="6" t="s">
        <v>18</v>
      </c>
      <c r="C144" s="21">
        <v>5583</v>
      </c>
      <c r="D144" s="19">
        <v>41890</v>
      </c>
      <c r="E144" s="6" t="s">
        <v>153</v>
      </c>
      <c r="F144" s="6" t="s">
        <v>82</v>
      </c>
      <c r="G144" s="6" t="s">
        <v>45</v>
      </c>
      <c r="H144" s="6" t="s">
        <v>29</v>
      </c>
    </row>
    <row r="145" spans="1:8" x14ac:dyDescent="0.35">
      <c r="A145" s="6" t="s">
        <v>4</v>
      </c>
      <c r="B145" s="6" t="s">
        <v>18</v>
      </c>
      <c r="C145" s="21">
        <v>352</v>
      </c>
      <c r="D145" s="19">
        <v>41891</v>
      </c>
      <c r="E145" s="6" t="s">
        <v>154</v>
      </c>
      <c r="F145" s="6" t="s">
        <v>50</v>
      </c>
      <c r="G145" s="6" t="s">
        <v>41</v>
      </c>
      <c r="H145" s="6" t="s">
        <v>34</v>
      </c>
    </row>
    <row r="146" spans="1:8" x14ac:dyDescent="0.35">
      <c r="A146" s="6" t="s">
        <v>10</v>
      </c>
      <c r="B146" s="6" t="s">
        <v>19</v>
      </c>
      <c r="C146" s="21">
        <v>8489</v>
      </c>
      <c r="D146" s="19">
        <v>41893</v>
      </c>
      <c r="E146" s="6" t="s">
        <v>58</v>
      </c>
      <c r="F146" s="6" t="s">
        <v>57</v>
      </c>
      <c r="G146" s="6" t="s">
        <v>41</v>
      </c>
      <c r="H146" s="6" t="s">
        <v>34</v>
      </c>
    </row>
    <row r="147" spans="1:8" x14ac:dyDescent="0.35">
      <c r="A147" s="6" t="s">
        <v>5</v>
      </c>
      <c r="B147" s="6" t="s">
        <v>18</v>
      </c>
      <c r="C147" s="21">
        <v>7090</v>
      </c>
      <c r="D147" s="19">
        <v>41893</v>
      </c>
      <c r="E147" s="6" t="s">
        <v>155</v>
      </c>
      <c r="F147" s="6" t="s">
        <v>36</v>
      </c>
      <c r="G147" s="6" t="s">
        <v>37</v>
      </c>
      <c r="H147" s="6" t="s">
        <v>29</v>
      </c>
    </row>
    <row r="148" spans="1:8" x14ac:dyDescent="0.35">
      <c r="A148" s="6" t="s">
        <v>5</v>
      </c>
      <c r="B148" s="6" t="s">
        <v>16</v>
      </c>
      <c r="C148" s="21">
        <v>10000</v>
      </c>
      <c r="D148" s="19">
        <v>41897</v>
      </c>
      <c r="E148" s="6" t="s">
        <v>140</v>
      </c>
      <c r="F148" s="6" t="s">
        <v>50</v>
      </c>
      <c r="G148" s="6" t="s">
        <v>41</v>
      </c>
      <c r="H148" s="6" t="s">
        <v>38</v>
      </c>
    </row>
    <row r="149" spans="1:8" x14ac:dyDescent="0.35">
      <c r="A149" s="6" t="s">
        <v>9</v>
      </c>
      <c r="B149" s="6" t="s">
        <v>18</v>
      </c>
      <c r="C149" s="21">
        <v>3861</v>
      </c>
      <c r="D149" s="19">
        <v>41900</v>
      </c>
      <c r="E149" s="6" t="s">
        <v>156</v>
      </c>
      <c r="F149" s="6" t="s">
        <v>157</v>
      </c>
      <c r="G149" s="6" t="s">
        <v>28</v>
      </c>
      <c r="H149" s="6" t="s">
        <v>46</v>
      </c>
    </row>
    <row r="150" spans="1:8" x14ac:dyDescent="0.35">
      <c r="A150" s="6" t="s">
        <v>4</v>
      </c>
      <c r="B150" s="6" t="s">
        <v>18</v>
      </c>
      <c r="C150" s="21">
        <v>7927</v>
      </c>
      <c r="D150" s="19">
        <v>41901</v>
      </c>
      <c r="E150" s="6" t="s">
        <v>158</v>
      </c>
      <c r="F150" s="6" t="s">
        <v>31</v>
      </c>
      <c r="G150" s="6" t="s">
        <v>28</v>
      </c>
      <c r="H150" s="6" t="s">
        <v>29</v>
      </c>
    </row>
    <row r="151" spans="1:8" x14ac:dyDescent="0.35">
      <c r="A151" s="6" t="s">
        <v>5</v>
      </c>
      <c r="B151" s="6" t="s">
        <v>18</v>
      </c>
      <c r="C151" s="21">
        <v>6162</v>
      </c>
      <c r="D151" s="19">
        <v>41902</v>
      </c>
      <c r="E151" s="6" t="s">
        <v>47</v>
      </c>
      <c r="F151" s="6" t="s">
        <v>48</v>
      </c>
      <c r="G151" s="6" t="s">
        <v>37</v>
      </c>
      <c r="H151" s="6" t="s">
        <v>42</v>
      </c>
    </row>
    <row r="152" spans="1:8" x14ac:dyDescent="0.35">
      <c r="A152" s="6" t="s">
        <v>8</v>
      </c>
      <c r="B152" s="6" t="s">
        <v>184</v>
      </c>
      <c r="C152" s="21">
        <v>5523</v>
      </c>
      <c r="D152" s="19">
        <v>41907</v>
      </c>
      <c r="E152" s="6" t="s">
        <v>159</v>
      </c>
      <c r="F152" s="6" t="s">
        <v>57</v>
      </c>
      <c r="G152" s="6" t="s">
        <v>41</v>
      </c>
      <c r="H152" s="6" t="s">
        <v>34</v>
      </c>
    </row>
    <row r="153" spans="1:8" x14ac:dyDescent="0.35">
      <c r="A153" s="6" t="s">
        <v>4</v>
      </c>
      <c r="B153" s="6" t="s">
        <v>184</v>
      </c>
      <c r="C153" s="21">
        <v>5936</v>
      </c>
      <c r="D153" s="19">
        <v>41907</v>
      </c>
      <c r="E153" s="6" t="s">
        <v>154</v>
      </c>
      <c r="F153" s="6" t="s">
        <v>50</v>
      </c>
      <c r="G153" s="6" t="s">
        <v>41</v>
      </c>
      <c r="H153" s="6" t="s">
        <v>29</v>
      </c>
    </row>
    <row r="154" spans="1:8" x14ac:dyDescent="0.35">
      <c r="A154" s="6" t="s">
        <v>7</v>
      </c>
      <c r="B154" s="6" t="s">
        <v>184</v>
      </c>
      <c r="C154" s="21">
        <v>7251</v>
      </c>
      <c r="D154" s="19">
        <v>41908</v>
      </c>
      <c r="E154" s="6" t="s">
        <v>160</v>
      </c>
      <c r="F154" s="6" t="s">
        <v>40</v>
      </c>
      <c r="G154" s="6" t="s">
        <v>41</v>
      </c>
      <c r="H154" s="6" t="s">
        <v>42</v>
      </c>
    </row>
    <row r="155" spans="1:8" x14ac:dyDescent="0.35">
      <c r="A155" s="6" t="s">
        <v>9</v>
      </c>
      <c r="B155" s="6" t="s">
        <v>19</v>
      </c>
      <c r="C155" s="21">
        <v>6187</v>
      </c>
      <c r="D155" s="19">
        <v>41909</v>
      </c>
      <c r="E155" s="6" t="s">
        <v>43</v>
      </c>
      <c r="F155" s="6" t="s">
        <v>44</v>
      </c>
      <c r="G155" s="6" t="s">
        <v>45</v>
      </c>
      <c r="H155" s="6" t="s">
        <v>42</v>
      </c>
    </row>
    <row r="156" spans="1:8" x14ac:dyDescent="0.35">
      <c r="A156" s="6" t="s">
        <v>5</v>
      </c>
      <c r="B156" s="6" t="s">
        <v>18</v>
      </c>
      <c r="C156" s="21">
        <v>3210</v>
      </c>
      <c r="D156" s="19">
        <v>41911</v>
      </c>
      <c r="E156" s="6" t="s">
        <v>54</v>
      </c>
      <c r="F156" s="6" t="s">
        <v>50</v>
      </c>
      <c r="G156" s="6" t="s">
        <v>41</v>
      </c>
      <c r="H156" s="6" t="s">
        <v>29</v>
      </c>
    </row>
    <row r="157" spans="1:8" x14ac:dyDescent="0.35">
      <c r="A157" s="6" t="s">
        <v>7</v>
      </c>
      <c r="B157" s="6" t="s">
        <v>184</v>
      </c>
      <c r="C157" s="21">
        <v>682</v>
      </c>
      <c r="D157" s="19">
        <v>41911</v>
      </c>
      <c r="E157" s="6" t="s">
        <v>161</v>
      </c>
      <c r="F157" s="6" t="s">
        <v>72</v>
      </c>
      <c r="G157" s="6" t="s">
        <v>41</v>
      </c>
      <c r="H157" s="6" t="s">
        <v>29</v>
      </c>
    </row>
    <row r="158" spans="1:8" x14ac:dyDescent="0.35">
      <c r="A158" s="6" t="s">
        <v>5</v>
      </c>
      <c r="B158" s="6" t="s">
        <v>18</v>
      </c>
      <c r="C158" s="21">
        <v>793</v>
      </c>
      <c r="D158" s="19">
        <v>41915</v>
      </c>
      <c r="E158" s="6" t="s">
        <v>54</v>
      </c>
      <c r="F158" s="6" t="s">
        <v>50</v>
      </c>
      <c r="G158" s="6" t="s">
        <v>41</v>
      </c>
      <c r="H158" s="6" t="s">
        <v>38</v>
      </c>
    </row>
    <row r="159" spans="1:8" x14ac:dyDescent="0.35">
      <c r="A159" s="6" t="s">
        <v>7</v>
      </c>
      <c r="B159" s="6" t="s">
        <v>18</v>
      </c>
      <c r="C159" s="21">
        <v>5346</v>
      </c>
      <c r="D159" s="19">
        <v>41916</v>
      </c>
      <c r="E159" s="6" t="s">
        <v>60</v>
      </c>
      <c r="F159" s="6" t="s">
        <v>36</v>
      </c>
      <c r="G159" s="6" t="s">
        <v>37</v>
      </c>
      <c r="H159" s="6" t="s">
        <v>46</v>
      </c>
    </row>
    <row r="160" spans="1:8" x14ac:dyDescent="0.35">
      <c r="A160" s="6" t="s">
        <v>7</v>
      </c>
      <c r="B160" s="6" t="s">
        <v>18</v>
      </c>
      <c r="C160" s="21">
        <v>4603</v>
      </c>
      <c r="D160" s="19">
        <v>41922</v>
      </c>
      <c r="E160" s="6" t="s">
        <v>74</v>
      </c>
      <c r="F160" s="6" t="s">
        <v>36</v>
      </c>
      <c r="G160" s="6" t="s">
        <v>37</v>
      </c>
      <c r="H160" s="6" t="s">
        <v>46</v>
      </c>
    </row>
    <row r="161" spans="1:8" x14ac:dyDescent="0.35">
      <c r="A161" s="6" t="s">
        <v>10</v>
      </c>
      <c r="B161" s="6" t="s">
        <v>18</v>
      </c>
      <c r="C161" s="21">
        <v>8160</v>
      </c>
      <c r="D161" s="19">
        <v>41928</v>
      </c>
      <c r="E161" s="6" t="s">
        <v>88</v>
      </c>
      <c r="F161" s="6" t="s">
        <v>48</v>
      </c>
      <c r="G161" s="6" t="s">
        <v>37</v>
      </c>
      <c r="H161" s="6" t="s">
        <v>46</v>
      </c>
    </row>
    <row r="162" spans="1:8" x14ac:dyDescent="0.35">
      <c r="A162" s="6" t="s">
        <v>10</v>
      </c>
      <c r="B162" s="6" t="s">
        <v>18</v>
      </c>
      <c r="C162" s="21">
        <v>7171</v>
      </c>
      <c r="D162" s="19">
        <v>41935</v>
      </c>
      <c r="E162" s="6" t="s">
        <v>162</v>
      </c>
      <c r="F162" s="6" t="s">
        <v>48</v>
      </c>
      <c r="G162" s="6" t="s">
        <v>37</v>
      </c>
      <c r="H162" s="6" t="s">
        <v>34</v>
      </c>
    </row>
    <row r="163" spans="1:8" x14ac:dyDescent="0.35">
      <c r="A163" s="6" t="s">
        <v>5</v>
      </c>
      <c r="B163" s="6" t="s">
        <v>16</v>
      </c>
      <c r="C163" s="21">
        <v>7273</v>
      </c>
      <c r="D163" s="19">
        <v>41937</v>
      </c>
      <c r="E163" s="6" t="s">
        <v>30</v>
      </c>
      <c r="F163" s="6" t="s">
        <v>31</v>
      </c>
      <c r="G163" s="6" t="s">
        <v>28</v>
      </c>
      <c r="H163" s="6" t="s">
        <v>29</v>
      </c>
    </row>
    <row r="164" spans="1:8" x14ac:dyDescent="0.35">
      <c r="A164" s="6" t="s">
        <v>5</v>
      </c>
      <c r="B164" s="6" t="s">
        <v>18</v>
      </c>
      <c r="C164" s="21">
        <v>2402</v>
      </c>
      <c r="D164" s="19">
        <v>41938</v>
      </c>
      <c r="E164" s="6" t="s">
        <v>43</v>
      </c>
      <c r="F164" s="6" t="s">
        <v>44</v>
      </c>
      <c r="G164" s="6" t="s">
        <v>45</v>
      </c>
      <c r="H164" s="6" t="s">
        <v>34</v>
      </c>
    </row>
    <row r="165" spans="1:8" x14ac:dyDescent="0.35">
      <c r="A165" s="6" t="s">
        <v>5</v>
      </c>
      <c r="B165" s="6" t="s">
        <v>18</v>
      </c>
      <c r="C165" s="21">
        <v>1197</v>
      </c>
      <c r="D165" s="19">
        <v>41938</v>
      </c>
      <c r="E165" s="6" t="s">
        <v>54</v>
      </c>
      <c r="F165" s="6" t="s">
        <v>50</v>
      </c>
      <c r="G165" s="6" t="s">
        <v>41</v>
      </c>
      <c r="H165" s="6" t="s">
        <v>34</v>
      </c>
    </row>
    <row r="166" spans="1:8" x14ac:dyDescent="0.35">
      <c r="A166" s="6" t="s">
        <v>6</v>
      </c>
      <c r="B166" s="6" t="s">
        <v>19</v>
      </c>
      <c r="C166" s="21">
        <v>5015</v>
      </c>
      <c r="D166" s="19">
        <v>41938</v>
      </c>
      <c r="E166" s="6" t="s">
        <v>35</v>
      </c>
      <c r="F166" s="6" t="s">
        <v>36</v>
      </c>
      <c r="G166" s="6" t="s">
        <v>37</v>
      </c>
      <c r="H166" s="6" t="s">
        <v>29</v>
      </c>
    </row>
    <row r="167" spans="1:8" x14ac:dyDescent="0.35">
      <c r="A167" s="6" t="s">
        <v>9</v>
      </c>
      <c r="B167" s="6" t="s">
        <v>19</v>
      </c>
      <c r="C167" s="21">
        <v>5818</v>
      </c>
      <c r="D167" s="19">
        <v>41945</v>
      </c>
      <c r="E167" s="6" t="s">
        <v>163</v>
      </c>
      <c r="F167" s="6" t="s">
        <v>69</v>
      </c>
      <c r="G167" s="6" t="s">
        <v>41</v>
      </c>
      <c r="H167" s="6" t="s">
        <v>38</v>
      </c>
    </row>
    <row r="168" spans="1:8" x14ac:dyDescent="0.35">
      <c r="A168" s="6" t="s">
        <v>5</v>
      </c>
      <c r="B168" s="6" t="s">
        <v>18</v>
      </c>
      <c r="C168" s="21">
        <v>4399</v>
      </c>
      <c r="D168" s="19">
        <v>41946</v>
      </c>
      <c r="E168" s="6" t="s">
        <v>73</v>
      </c>
      <c r="F168" s="6" t="s">
        <v>62</v>
      </c>
      <c r="G168" s="6" t="s">
        <v>63</v>
      </c>
      <c r="H168" s="6" t="s">
        <v>46</v>
      </c>
    </row>
    <row r="169" spans="1:8" x14ac:dyDescent="0.35">
      <c r="A169" s="6" t="s">
        <v>7</v>
      </c>
      <c r="B169" s="6" t="s">
        <v>18</v>
      </c>
      <c r="C169" s="21">
        <v>3011</v>
      </c>
      <c r="D169" s="19">
        <v>41946</v>
      </c>
      <c r="E169" s="6" t="s">
        <v>93</v>
      </c>
      <c r="F169" s="6" t="s">
        <v>78</v>
      </c>
      <c r="G169" s="6" t="s">
        <v>45</v>
      </c>
      <c r="H169" s="6" t="s">
        <v>29</v>
      </c>
    </row>
    <row r="170" spans="1:8" x14ac:dyDescent="0.35">
      <c r="A170" s="6" t="s">
        <v>10</v>
      </c>
      <c r="B170" s="6" t="s">
        <v>184</v>
      </c>
      <c r="C170" s="21">
        <v>4715</v>
      </c>
      <c r="D170" s="19">
        <v>41952</v>
      </c>
      <c r="E170" s="6" t="s">
        <v>164</v>
      </c>
      <c r="F170" s="6" t="s">
        <v>57</v>
      </c>
      <c r="G170" s="6" t="s">
        <v>41</v>
      </c>
      <c r="H170" s="6" t="s">
        <v>42</v>
      </c>
    </row>
    <row r="171" spans="1:8" x14ac:dyDescent="0.35">
      <c r="A171" s="6" t="s">
        <v>10</v>
      </c>
      <c r="B171" s="6" t="s">
        <v>184</v>
      </c>
      <c r="C171" s="21">
        <v>5321</v>
      </c>
      <c r="D171" s="19">
        <v>41955</v>
      </c>
      <c r="E171" s="6" t="s">
        <v>165</v>
      </c>
      <c r="F171" s="6" t="s">
        <v>50</v>
      </c>
      <c r="G171" s="6" t="s">
        <v>41</v>
      </c>
      <c r="H171" s="6" t="s">
        <v>34</v>
      </c>
    </row>
    <row r="172" spans="1:8" x14ac:dyDescent="0.35">
      <c r="A172" s="6" t="s">
        <v>5</v>
      </c>
      <c r="B172" s="6" t="s">
        <v>18</v>
      </c>
      <c r="C172" s="21">
        <v>8894</v>
      </c>
      <c r="D172" s="19">
        <v>41958</v>
      </c>
      <c r="E172" s="6" t="s">
        <v>166</v>
      </c>
      <c r="F172" s="6" t="s">
        <v>31</v>
      </c>
      <c r="G172" s="6" t="s">
        <v>28</v>
      </c>
      <c r="H172" s="6" t="s">
        <v>29</v>
      </c>
    </row>
    <row r="173" spans="1:8" x14ac:dyDescent="0.35">
      <c r="A173" s="6" t="s">
        <v>7</v>
      </c>
      <c r="B173" s="6" t="s">
        <v>18</v>
      </c>
      <c r="C173" s="21">
        <v>4846</v>
      </c>
      <c r="D173" s="19">
        <v>41968</v>
      </c>
      <c r="E173" s="6" t="s">
        <v>60</v>
      </c>
      <c r="F173" s="6" t="s">
        <v>36</v>
      </c>
      <c r="G173" s="6" t="s">
        <v>37</v>
      </c>
      <c r="H173" s="6" t="s">
        <v>42</v>
      </c>
    </row>
    <row r="174" spans="1:8" x14ac:dyDescent="0.35">
      <c r="A174" s="6" t="s">
        <v>4</v>
      </c>
      <c r="B174" s="6" t="s">
        <v>18</v>
      </c>
      <c r="C174" s="21">
        <v>284</v>
      </c>
      <c r="D174" s="19">
        <v>41968</v>
      </c>
      <c r="E174" s="6" t="s">
        <v>167</v>
      </c>
      <c r="F174" s="6" t="s">
        <v>27</v>
      </c>
      <c r="G174" s="6" t="s">
        <v>28</v>
      </c>
      <c r="H174" s="6" t="s">
        <v>42</v>
      </c>
    </row>
    <row r="175" spans="1:8" x14ac:dyDescent="0.35">
      <c r="A175" s="6" t="s">
        <v>9</v>
      </c>
      <c r="B175" s="6" t="s">
        <v>18</v>
      </c>
      <c r="C175" s="21">
        <v>8283</v>
      </c>
      <c r="D175" s="19">
        <v>41969</v>
      </c>
      <c r="E175" s="6" t="s">
        <v>168</v>
      </c>
      <c r="F175" s="6" t="s">
        <v>44</v>
      </c>
      <c r="G175" s="6" t="s">
        <v>45</v>
      </c>
      <c r="H175" s="6" t="s">
        <v>29</v>
      </c>
    </row>
    <row r="176" spans="1:8" x14ac:dyDescent="0.35">
      <c r="A176" s="6" t="s">
        <v>9</v>
      </c>
      <c r="B176" s="6" t="s">
        <v>184</v>
      </c>
      <c r="C176" s="21">
        <v>9990</v>
      </c>
      <c r="D176" s="19">
        <v>41971</v>
      </c>
      <c r="E176" s="6" t="s">
        <v>144</v>
      </c>
      <c r="F176" s="6" t="s">
        <v>120</v>
      </c>
      <c r="G176" s="6" t="s">
        <v>41</v>
      </c>
      <c r="H176" s="6" t="s">
        <v>29</v>
      </c>
    </row>
    <row r="177" spans="1:8" x14ac:dyDescent="0.35">
      <c r="A177" s="6" t="s">
        <v>5</v>
      </c>
      <c r="B177" s="6" t="s">
        <v>18</v>
      </c>
      <c r="C177" s="21">
        <v>9014</v>
      </c>
      <c r="D177" s="19">
        <v>41971</v>
      </c>
      <c r="E177" s="6" t="s">
        <v>56</v>
      </c>
      <c r="F177" s="6" t="s">
        <v>57</v>
      </c>
      <c r="G177" s="6" t="s">
        <v>41</v>
      </c>
      <c r="H177" s="6" t="s">
        <v>38</v>
      </c>
    </row>
    <row r="178" spans="1:8" x14ac:dyDescent="0.35">
      <c r="A178" s="6" t="s">
        <v>10</v>
      </c>
      <c r="B178" s="6" t="s">
        <v>18</v>
      </c>
      <c r="C178" s="21">
        <v>1942</v>
      </c>
      <c r="D178" s="19">
        <v>41972</v>
      </c>
      <c r="E178" s="6" t="s">
        <v>169</v>
      </c>
      <c r="F178" s="6" t="s">
        <v>44</v>
      </c>
      <c r="G178" s="6" t="s">
        <v>45</v>
      </c>
      <c r="H178" s="6" t="s">
        <v>46</v>
      </c>
    </row>
    <row r="179" spans="1:8" x14ac:dyDescent="0.35">
      <c r="A179" s="6" t="s">
        <v>5</v>
      </c>
      <c r="B179" s="6" t="s">
        <v>184</v>
      </c>
      <c r="C179" s="21">
        <v>7223</v>
      </c>
      <c r="D179" s="19">
        <v>41973</v>
      </c>
      <c r="E179" s="6" t="s">
        <v>170</v>
      </c>
      <c r="F179" s="6" t="s">
        <v>36</v>
      </c>
      <c r="G179" s="6" t="s">
        <v>37</v>
      </c>
      <c r="H179" s="6" t="s">
        <v>46</v>
      </c>
    </row>
    <row r="180" spans="1:8" x14ac:dyDescent="0.35">
      <c r="A180" s="6" t="s">
        <v>7</v>
      </c>
      <c r="B180" s="6" t="s">
        <v>18</v>
      </c>
      <c r="C180" s="21">
        <v>4673</v>
      </c>
      <c r="D180" s="19">
        <v>41975</v>
      </c>
      <c r="E180" s="6" t="s">
        <v>169</v>
      </c>
      <c r="F180" s="6" t="s">
        <v>44</v>
      </c>
      <c r="G180" s="6" t="s">
        <v>45</v>
      </c>
      <c r="H180" s="6" t="s">
        <v>46</v>
      </c>
    </row>
    <row r="181" spans="1:8" x14ac:dyDescent="0.35">
      <c r="A181" s="6" t="s">
        <v>7</v>
      </c>
      <c r="B181" s="6" t="s">
        <v>18</v>
      </c>
      <c r="C181" s="21">
        <v>9104</v>
      </c>
      <c r="D181" s="19">
        <v>41977</v>
      </c>
      <c r="E181" s="6" t="s">
        <v>56</v>
      </c>
      <c r="F181" s="6" t="s">
        <v>57</v>
      </c>
      <c r="G181" s="6" t="s">
        <v>41</v>
      </c>
      <c r="H181" s="6" t="s">
        <v>34</v>
      </c>
    </row>
    <row r="182" spans="1:8" x14ac:dyDescent="0.35">
      <c r="A182" s="6" t="s">
        <v>10</v>
      </c>
      <c r="B182" s="6" t="s">
        <v>18</v>
      </c>
      <c r="C182" s="21">
        <v>6078</v>
      </c>
      <c r="D182" s="19">
        <v>41978</v>
      </c>
      <c r="E182" s="6" t="s">
        <v>164</v>
      </c>
      <c r="F182" s="6" t="s">
        <v>57</v>
      </c>
      <c r="G182" s="6" t="s">
        <v>41</v>
      </c>
      <c r="H182" s="6" t="s">
        <v>29</v>
      </c>
    </row>
    <row r="183" spans="1:8" x14ac:dyDescent="0.35">
      <c r="A183" s="6" t="s">
        <v>6</v>
      </c>
      <c r="B183" s="6" t="s">
        <v>18</v>
      </c>
      <c r="C183" s="21">
        <v>3278</v>
      </c>
      <c r="D183" s="19">
        <v>41979</v>
      </c>
      <c r="E183" s="6" t="s">
        <v>171</v>
      </c>
      <c r="F183" s="6" t="s">
        <v>50</v>
      </c>
      <c r="G183" s="6" t="s">
        <v>41</v>
      </c>
      <c r="H183" s="6" t="s">
        <v>34</v>
      </c>
    </row>
    <row r="184" spans="1:8" x14ac:dyDescent="0.35">
      <c r="A184" s="6" t="s">
        <v>5</v>
      </c>
      <c r="B184" s="6" t="s">
        <v>19</v>
      </c>
      <c r="C184" s="21">
        <v>136</v>
      </c>
      <c r="D184" s="19">
        <v>41985</v>
      </c>
      <c r="E184" s="6" t="s">
        <v>172</v>
      </c>
      <c r="F184" s="6" t="s">
        <v>48</v>
      </c>
      <c r="G184" s="6" t="s">
        <v>37</v>
      </c>
      <c r="H184" s="6" t="s">
        <v>34</v>
      </c>
    </row>
    <row r="185" spans="1:8" x14ac:dyDescent="0.35">
      <c r="A185" s="6" t="s">
        <v>5</v>
      </c>
      <c r="B185" s="6" t="s">
        <v>18</v>
      </c>
      <c r="C185" s="21">
        <v>8377</v>
      </c>
      <c r="D185" s="19">
        <v>41985</v>
      </c>
      <c r="E185" s="6" t="s">
        <v>88</v>
      </c>
      <c r="F185" s="6" t="s">
        <v>48</v>
      </c>
      <c r="G185" s="6" t="s">
        <v>37</v>
      </c>
      <c r="H185" s="6" t="s">
        <v>29</v>
      </c>
    </row>
    <row r="186" spans="1:8" x14ac:dyDescent="0.35">
      <c r="A186" s="6" t="s">
        <v>5</v>
      </c>
      <c r="B186" s="6" t="s">
        <v>18</v>
      </c>
      <c r="C186" s="21">
        <v>2382</v>
      </c>
      <c r="D186" s="19">
        <v>41985</v>
      </c>
      <c r="E186" s="6" t="s">
        <v>173</v>
      </c>
      <c r="F186" s="6" t="s">
        <v>36</v>
      </c>
      <c r="G186" s="6" t="s">
        <v>37</v>
      </c>
      <c r="H186" s="6" t="s">
        <v>38</v>
      </c>
    </row>
    <row r="187" spans="1:8" x14ac:dyDescent="0.35">
      <c r="A187" s="6" t="s">
        <v>5</v>
      </c>
      <c r="B187" s="6" t="s">
        <v>18</v>
      </c>
      <c r="C187" s="21">
        <v>8702</v>
      </c>
      <c r="D187" s="19">
        <v>41988</v>
      </c>
      <c r="E187" s="6" t="s">
        <v>174</v>
      </c>
      <c r="F187" s="6" t="s">
        <v>99</v>
      </c>
      <c r="G187" s="6" t="s">
        <v>28</v>
      </c>
      <c r="H187" s="6" t="s">
        <v>46</v>
      </c>
    </row>
    <row r="188" spans="1:8" x14ac:dyDescent="0.35">
      <c r="A188" s="6" t="s">
        <v>5</v>
      </c>
      <c r="B188" s="6" t="s">
        <v>18</v>
      </c>
      <c r="C188" s="21">
        <v>5021</v>
      </c>
      <c r="D188" s="19">
        <v>41989</v>
      </c>
      <c r="E188" s="6" t="s">
        <v>175</v>
      </c>
      <c r="F188" s="6" t="s">
        <v>48</v>
      </c>
      <c r="G188" s="6" t="s">
        <v>37</v>
      </c>
      <c r="H188" s="6" t="s">
        <v>29</v>
      </c>
    </row>
    <row r="189" spans="1:8" x14ac:dyDescent="0.35">
      <c r="A189" s="6" t="s">
        <v>10</v>
      </c>
      <c r="B189" s="6" t="s">
        <v>18</v>
      </c>
      <c r="C189" s="21">
        <v>6000</v>
      </c>
      <c r="D189" s="19">
        <v>41989</v>
      </c>
      <c r="E189" s="6" t="s">
        <v>88</v>
      </c>
      <c r="F189" s="6" t="s">
        <v>48</v>
      </c>
      <c r="G189" s="6" t="s">
        <v>37</v>
      </c>
      <c r="H189" s="6" t="s">
        <v>42</v>
      </c>
    </row>
    <row r="190" spans="1:8" x14ac:dyDescent="0.35">
      <c r="A190" s="6" t="s">
        <v>5</v>
      </c>
      <c r="B190" s="6" t="s">
        <v>18</v>
      </c>
      <c r="C190" s="21">
        <v>9000</v>
      </c>
      <c r="D190" s="19">
        <v>41991</v>
      </c>
      <c r="E190" s="6" t="s">
        <v>176</v>
      </c>
      <c r="F190" s="6" t="s">
        <v>31</v>
      </c>
      <c r="G190" s="6" t="s">
        <v>28</v>
      </c>
      <c r="H190" s="6" t="s">
        <v>34</v>
      </c>
    </row>
    <row r="191" spans="1:8" x14ac:dyDescent="0.35">
      <c r="A191" s="6" t="s">
        <v>6</v>
      </c>
      <c r="B191" s="6" t="s">
        <v>18</v>
      </c>
      <c r="C191" s="21">
        <v>1541</v>
      </c>
      <c r="D191" s="19">
        <v>41992</v>
      </c>
      <c r="E191" s="6" t="s">
        <v>97</v>
      </c>
      <c r="F191" s="6" t="s">
        <v>40</v>
      </c>
      <c r="G191" s="6" t="s">
        <v>41</v>
      </c>
      <c r="H191" s="6" t="s">
        <v>29</v>
      </c>
    </row>
    <row r="192" spans="1:8" x14ac:dyDescent="0.35">
      <c r="A192" s="6" t="s">
        <v>9</v>
      </c>
      <c r="B192" s="6" t="s">
        <v>18</v>
      </c>
      <c r="C192" s="21">
        <v>2782</v>
      </c>
      <c r="D192" s="19">
        <v>41993</v>
      </c>
      <c r="E192" s="6" t="s">
        <v>177</v>
      </c>
      <c r="F192" s="6" t="s">
        <v>57</v>
      </c>
      <c r="G192" s="6" t="s">
        <v>41</v>
      </c>
      <c r="H192" s="6" t="s">
        <v>42</v>
      </c>
    </row>
    <row r="193" spans="1:8" x14ac:dyDescent="0.35">
      <c r="A193" s="6" t="s">
        <v>10</v>
      </c>
      <c r="B193" s="6" t="s">
        <v>18</v>
      </c>
      <c r="C193" s="21">
        <v>2455</v>
      </c>
      <c r="D193" s="19">
        <v>41993</v>
      </c>
      <c r="E193" s="6" t="s">
        <v>158</v>
      </c>
      <c r="F193" s="6" t="s">
        <v>31</v>
      </c>
      <c r="G193" s="6" t="s">
        <v>28</v>
      </c>
      <c r="H193" s="6" t="s">
        <v>42</v>
      </c>
    </row>
    <row r="194" spans="1:8" x14ac:dyDescent="0.35">
      <c r="A194" s="6" t="s">
        <v>10</v>
      </c>
      <c r="B194" s="6" t="s">
        <v>18</v>
      </c>
      <c r="C194" s="21">
        <v>8752</v>
      </c>
      <c r="D194" s="19">
        <v>41995</v>
      </c>
      <c r="E194" s="6" t="s">
        <v>60</v>
      </c>
      <c r="F194" s="6" t="s">
        <v>36</v>
      </c>
      <c r="G194" s="6" t="s">
        <v>37</v>
      </c>
      <c r="H194" s="6" t="s">
        <v>29</v>
      </c>
    </row>
    <row r="195" spans="1:8" x14ac:dyDescent="0.35">
      <c r="A195" s="6" t="s">
        <v>7</v>
      </c>
      <c r="B195" s="6" t="s">
        <v>16</v>
      </c>
      <c r="C195" s="21">
        <v>9127</v>
      </c>
      <c r="D195" s="19">
        <v>41998</v>
      </c>
      <c r="E195" s="6" t="s">
        <v>178</v>
      </c>
      <c r="F195" s="6" t="s">
        <v>36</v>
      </c>
      <c r="G195" s="6" t="s">
        <v>37</v>
      </c>
      <c r="H195" s="6" t="s">
        <v>29</v>
      </c>
    </row>
    <row r="196" spans="1:8" x14ac:dyDescent="0.35">
      <c r="A196" s="6" t="s">
        <v>10</v>
      </c>
      <c r="B196" s="6" t="s">
        <v>184</v>
      </c>
      <c r="C196" s="21">
        <v>1777</v>
      </c>
      <c r="D196" s="19">
        <v>42001</v>
      </c>
      <c r="E196" s="6" t="s">
        <v>123</v>
      </c>
      <c r="F196" s="6" t="s">
        <v>84</v>
      </c>
      <c r="G196" s="6" t="s">
        <v>28</v>
      </c>
      <c r="H196" s="6" t="s">
        <v>38</v>
      </c>
    </row>
    <row r="197" spans="1:8" x14ac:dyDescent="0.35">
      <c r="A197" s="6" t="s">
        <v>6</v>
      </c>
      <c r="B197" s="6" t="s">
        <v>184</v>
      </c>
      <c r="C197" s="21">
        <v>680</v>
      </c>
      <c r="D197" s="19">
        <v>42001</v>
      </c>
      <c r="E197" s="6" t="s">
        <v>169</v>
      </c>
      <c r="F197" s="6" t="s">
        <v>44</v>
      </c>
      <c r="G197" s="6" t="s">
        <v>45</v>
      </c>
      <c r="H197" s="6" t="s">
        <v>46</v>
      </c>
    </row>
    <row r="198" spans="1:8" x14ac:dyDescent="0.35">
      <c r="A198" s="6" t="s">
        <v>9</v>
      </c>
      <c r="B198" s="6" t="s">
        <v>184</v>
      </c>
      <c r="C198" s="21">
        <v>958</v>
      </c>
      <c r="D198" s="19">
        <v>42002</v>
      </c>
      <c r="E198" s="6" t="s">
        <v>179</v>
      </c>
      <c r="F198" s="6" t="s">
        <v>44</v>
      </c>
      <c r="G198" s="6" t="s">
        <v>45</v>
      </c>
      <c r="H198" s="6" t="s">
        <v>46</v>
      </c>
    </row>
    <row r="199" spans="1:8" x14ac:dyDescent="0.35">
      <c r="A199" s="6" t="s">
        <v>9</v>
      </c>
      <c r="B199" s="6" t="s">
        <v>18</v>
      </c>
      <c r="C199" s="21">
        <v>958</v>
      </c>
      <c r="D199" s="19">
        <v>42003</v>
      </c>
      <c r="E199" s="6" t="s">
        <v>180</v>
      </c>
      <c r="F199" s="6" t="s">
        <v>181</v>
      </c>
      <c r="G199" s="6" t="s">
        <v>63</v>
      </c>
      <c r="H199" s="6" t="s">
        <v>46</v>
      </c>
    </row>
    <row r="200" spans="1:8" x14ac:dyDescent="0.35">
      <c r="A200" s="6" t="s">
        <v>7</v>
      </c>
      <c r="B200" s="6" t="s">
        <v>19</v>
      </c>
      <c r="C200" s="21">
        <v>2613</v>
      </c>
      <c r="D200" s="19">
        <v>42002</v>
      </c>
      <c r="E200" s="6" t="s">
        <v>182</v>
      </c>
      <c r="F200" s="6" t="s">
        <v>44</v>
      </c>
      <c r="G200" s="6" t="s">
        <v>45</v>
      </c>
      <c r="H200" s="6" t="s">
        <v>34</v>
      </c>
    </row>
    <row r="201" spans="1:8" x14ac:dyDescent="0.35">
      <c r="A201" s="6" t="s">
        <v>7</v>
      </c>
      <c r="B201" s="6" t="s">
        <v>18</v>
      </c>
      <c r="C201" s="21">
        <v>339</v>
      </c>
      <c r="D201" s="19">
        <v>42003</v>
      </c>
      <c r="E201" s="6" t="s">
        <v>121</v>
      </c>
      <c r="F201" s="6" t="s">
        <v>122</v>
      </c>
      <c r="G201" s="6" t="s">
        <v>37</v>
      </c>
      <c r="H201" s="6" t="s">
        <v>29</v>
      </c>
    </row>
    <row r="202" spans="1:8" x14ac:dyDescent="0.35">
      <c r="A202" s="6" t="s">
        <v>6</v>
      </c>
      <c r="B202" s="6" t="s">
        <v>18</v>
      </c>
      <c r="C202" s="21">
        <v>1000</v>
      </c>
      <c r="D202" s="19">
        <v>42003</v>
      </c>
      <c r="E202" s="6" t="s">
        <v>147</v>
      </c>
      <c r="F202" s="6" t="s">
        <v>148</v>
      </c>
      <c r="G202" s="6" t="s">
        <v>63</v>
      </c>
      <c r="H202" s="6" t="s">
        <v>38</v>
      </c>
    </row>
    <row r="203" spans="1:8" x14ac:dyDescent="0.35">
      <c r="A203" s="6" t="s">
        <v>9</v>
      </c>
      <c r="B203" s="6" t="s">
        <v>19</v>
      </c>
      <c r="C203" s="21">
        <v>1000</v>
      </c>
      <c r="D203" s="19">
        <v>42003</v>
      </c>
      <c r="E203" s="6" t="s">
        <v>121</v>
      </c>
      <c r="F203" s="6" t="s">
        <v>66</v>
      </c>
      <c r="G203" s="6" t="s">
        <v>28</v>
      </c>
      <c r="H203" s="6" t="s">
        <v>42</v>
      </c>
    </row>
    <row r="204" spans="1:8" x14ac:dyDescent="0.35">
      <c r="A204" s="6" t="s">
        <v>7</v>
      </c>
      <c r="B204" s="6" t="s">
        <v>18</v>
      </c>
      <c r="C204" s="21">
        <v>3011</v>
      </c>
      <c r="D204" s="19">
        <v>41946</v>
      </c>
      <c r="E204" s="6" t="s">
        <v>93</v>
      </c>
      <c r="F204" s="6" t="s">
        <v>78</v>
      </c>
      <c r="G204" s="6" t="s">
        <v>45</v>
      </c>
      <c r="H204" s="6" t="s">
        <v>29</v>
      </c>
    </row>
    <row r="205" spans="1:8" x14ac:dyDescent="0.35">
      <c r="A205" s="6" t="s">
        <v>10</v>
      </c>
      <c r="B205" s="6" t="s">
        <v>18</v>
      </c>
      <c r="C205" s="21">
        <v>4715</v>
      </c>
      <c r="D205" s="19">
        <v>41952</v>
      </c>
      <c r="E205" s="6" t="s">
        <v>164</v>
      </c>
      <c r="F205" s="6" t="s">
        <v>57</v>
      </c>
      <c r="G205" s="6" t="s">
        <v>41</v>
      </c>
      <c r="H205" s="6" t="s">
        <v>42</v>
      </c>
    </row>
    <row r="206" spans="1:8" x14ac:dyDescent="0.35">
      <c r="A206" s="6" t="s">
        <v>10</v>
      </c>
      <c r="B206" s="6" t="s">
        <v>18</v>
      </c>
      <c r="C206" s="21">
        <v>5321</v>
      </c>
      <c r="D206" s="19">
        <v>41955</v>
      </c>
      <c r="E206" s="6" t="s">
        <v>165</v>
      </c>
      <c r="F206" s="6" t="s">
        <v>50</v>
      </c>
      <c r="G206" s="6" t="s">
        <v>41</v>
      </c>
      <c r="H206" s="6" t="s">
        <v>34</v>
      </c>
    </row>
    <row r="207" spans="1:8" x14ac:dyDescent="0.35">
      <c r="A207" s="6" t="s">
        <v>5</v>
      </c>
      <c r="B207" s="6" t="s">
        <v>18</v>
      </c>
      <c r="C207" s="21">
        <v>8894</v>
      </c>
      <c r="D207" s="19">
        <v>41958</v>
      </c>
      <c r="E207" s="6" t="s">
        <v>166</v>
      </c>
      <c r="F207" s="6" t="s">
        <v>31</v>
      </c>
      <c r="G207" s="6" t="s">
        <v>28</v>
      </c>
      <c r="H207" s="6" t="s">
        <v>29</v>
      </c>
    </row>
    <row r="208" spans="1:8" x14ac:dyDescent="0.35">
      <c r="A208" s="6" t="s">
        <v>7</v>
      </c>
      <c r="B208" s="6" t="s">
        <v>18</v>
      </c>
      <c r="C208" s="21">
        <v>4846</v>
      </c>
      <c r="D208" s="19">
        <v>41968</v>
      </c>
      <c r="E208" s="6" t="s">
        <v>60</v>
      </c>
      <c r="F208" s="6" t="s">
        <v>36</v>
      </c>
      <c r="G208" s="6" t="s">
        <v>37</v>
      </c>
      <c r="H208" s="6" t="s">
        <v>42</v>
      </c>
    </row>
    <row r="209" spans="1:8" x14ac:dyDescent="0.35">
      <c r="A209" s="6" t="s">
        <v>4</v>
      </c>
      <c r="B209" s="6" t="s">
        <v>18</v>
      </c>
      <c r="C209" s="21">
        <v>284</v>
      </c>
      <c r="D209" s="19">
        <v>41968</v>
      </c>
      <c r="E209" s="6" t="s">
        <v>167</v>
      </c>
      <c r="F209" s="6" t="s">
        <v>27</v>
      </c>
      <c r="G209" s="6" t="s">
        <v>28</v>
      </c>
      <c r="H209" s="6" t="s">
        <v>42</v>
      </c>
    </row>
    <row r="210" spans="1:8" x14ac:dyDescent="0.35">
      <c r="A210" s="6" t="s">
        <v>9</v>
      </c>
      <c r="B210" s="6" t="s">
        <v>184</v>
      </c>
      <c r="C210" s="21">
        <v>8283</v>
      </c>
      <c r="D210" s="19">
        <v>41969</v>
      </c>
      <c r="E210" s="6" t="s">
        <v>168</v>
      </c>
      <c r="F210" s="6" t="s">
        <v>44</v>
      </c>
      <c r="G210" s="6" t="s">
        <v>45</v>
      </c>
      <c r="H210" s="6" t="s">
        <v>29</v>
      </c>
    </row>
    <row r="211" spans="1:8" x14ac:dyDescent="0.35">
      <c r="A211" s="6" t="s">
        <v>9</v>
      </c>
      <c r="B211" s="6" t="s">
        <v>18</v>
      </c>
      <c r="C211" s="21">
        <v>9990</v>
      </c>
      <c r="D211" s="19">
        <v>41971</v>
      </c>
      <c r="E211" s="6" t="s">
        <v>144</v>
      </c>
      <c r="F211" s="6" t="s">
        <v>120</v>
      </c>
      <c r="G211" s="6" t="s">
        <v>41</v>
      </c>
      <c r="H211" s="6" t="s">
        <v>29</v>
      </c>
    </row>
    <row r="212" spans="1:8" x14ac:dyDescent="0.35">
      <c r="A212" s="6" t="s">
        <v>5</v>
      </c>
      <c r="B212" s="6" t="s">
        <v>18</v>
      </c>
      <c r="C212" s="21">
        <v>9014</v>
      </c>
      <c r="D212" s="19">
        <v>41971</v>
      </c>
      <c r="E212" s="6" t="s">
        <v>56</v>
      </c>
      <c r="F212" s="6" t="s">
        <v>57</v>
      </c>
      <c r="G212" s="6" t="s">
        <v>41</v>
      </c>
      <c r="H212" s="6" t="s">
        <v>38</v>
      </c>
    </row>
    <row r="213" spans="1:8" x14ac:dyDescent="0.35">
      <c r="A213" s="6" t="s">
        <v>10</v>
      </c>
      <c r="B213" s="6" t="s">
        <v>18</v>
      </c>
      <c r="C213" s="21">
        <v>1942</v>
      </c>
      <c r="D213" s="19">
        <v>41972</v>
      </c>
      <c r="E213" s="6" t="s">
        <v>169</v>
      </c>
      <c r="F213" s="6" t="s">
        <v>44</v>
      </c>
      <c r="G213" s="6" t="s">
        <v>45</v>
      </c>
      <c r="H213" s="6" t="s">
        <v>46</v>
      </c>
    </row>
    <row r="214" spans="1:8" x14ac:dyDescent="0.35">
      <c r="A214" s="6" t="s">
        <v>5</v>
      </c>
      <c r="B214" s="6" t="s">
        <v>18</v>
      </c>
      <c r="C214" s="21">
        <v>7223</v>
      </c>
      <c r="D214" s="19">
        <v>41973</v>
      </c>
      <c r="E214" s="6" t="s">
        <v>170</v>
      </c>
      <c r="F214" s="6" t="s">
        <v>36</v>
      </c>
      <c r="G214" s="6" t="s">
        <v>37</v>
      </c>
      <c r="H214" s="6" t="s">
        <v>46</v>
      </c>
    </row>
    <row r="215" spans="1:8" x14ac:dyDescent="0.35">
      <c r="A215" s="6" t="s">
        <v>7</v>
      </c>
      <c r="B215" s="6" t="s">
        <v>18</v>
      </c>
      <c r="C215" s="21">
        <v>4673</v>
      </c>
      <c r="D215" s="19">
        <v>41975</v>
      </c>
      <c r="E215" s="6" t="s">
        <v>169</v>
      </c>
      <c r="F215" s="6" t="s">
        <v>44</v>
      </c>
      <c r="G215" s="6" t="s">
        <v>45</v>
      </c>
      <c r="H215" s="6" t="s">
        <v>46</v>
      </c>
    </row>
    <row r="216" spans="1:8" x14ac:dyDescent="0.35">
      <c r="A216" s="6" t="s">
        <v>7</v>
      </c>
      <c r="B216" s="6" t="s">
        <v>18</v>
      </c>
      <c r="C216" s="21">
        <v>9104</v>
      </c>
      <c r="D216" s="19">
        <v>41977</v>
      </c>
      <c r="E216" s="6" t="s">
        <v>56</v>
      </c>
      <c r="F216" s="6" t="s">
        <v>57</v>
      </c>
      <c r="G216" s="6" t="s">
        <v>41</v>
      </c>
      <c r="H216" s="6" t="s">
        <v>34</v>
      </c>
    </row>
    <row r="217" spans="1:8" x14ac:dyDescent="0.35">
      <c r="A217" s="6" t="s">
        <v>10</v>
      </c>
      <c r="B217" s="6" t="s">
        <v>184</v>
      </c>
      <c r="C217" s="21">
        <v>6078</v>
      </c>
      <c r="D217" s="19">
        <v>41978</v>
      </c>
      <c r="E217" s="6" t="s">
        <v>164</v>
      </c>
      <c r="F217" s="6" t="s">
        <v>57</v>
      </c>
      <c r="G217" s="6" t="s">
        <v>41</v>
      </c>
      <c r="H217" s="6" t="s">
        <v>29</v>
      </c>
    </row>
    <row r="218" spans="1:8" x14ac:dyDescent="0.35">
      <c r="A218" s="6" t="s">
        <v>6</v>
      </c>
      <c r="B218" s="6" t="s">
        <v>18</v>
      </c>
      <c r="C218" s="21">
        <v>3278</v>
      </c>
      <c r="D218" s="19">
        <v>41979</v>
      </c>
      <c r="E218" s="6" t="s">
        <v>171</v>
      </c>
      <c r="F218" s="6" t="s">
        <v>50</v>
      </c>
      <c r="G218" s="6" t="s">
        <v>41</v>
      </c>
      <c r="H218" s="6" t="s">
        <v>34</v>
      </c>
    </row>
    <row r="219" spans="1:8" x14ac:dyDescent="0.35">
      <c r="A219" s="6" t="s">
        <v>5</v>
      </c>
      <c r="B219" s="6" t="s">
        <v>19</v>
      </c>
      <c r="C219" s="21">
        <v>136</v>
      </c>
      <c r="D219" s="19">
        <v>41985</v>
      </c>
      <c r="E219" s="6" t="s">
        <v>172</v>
      </c>
      <c r="F219" s="6" t="s">
        <v>48</v>
      </c>
      <c r="G219" s="6" t="s">
        <v>37</v>
      </c>
      <c r="H219" s="6" t="s">
        <v>34</v>
      </c>
    </row>
    <row r="220" spans="1:8" x14ac:dyDescent="0.35">
      <c r="A220" s="6" t="s">
        <v>5</v>
      </c>
      <c r="B220" s="6" t="s">
        <v>18</v>
      </c>
      <c r="C220" s="21">
        <v>8377</v>
      </c>
      <c r="D220" s="19">
        <v>41985</v>
      </c>
      <c r="E220" s="6" t="s">
        <v>88</v>
      </c>
      <c r="F220" s="6" t="s">
        <v>48</v>
      </c>
      <c r="G220" s="6" t="s">
        <v>37</v>
      </c>
      <c r="H220" s="6" t="s">
        <v>29</v>
      </c>
    </row>
    <row r="221" spans="1:8" x14ac:dyDescent="0.35">
      <c r="A221" s="6" t="s">
        <v>5</v>
      </c>
      <c r="B221" s="6" t="s">
        <v>18</v>
      </c>
      <c r="C221" s="21">
        <v>2382</v>
      </c>
      <c r="D221" s="19">
        <v>41985</v>
      </c>
      <c r="E221" s="6" t="s">
        <v>173</v>
      </c>
      <c r="F221" s="6" t="s">
        <v>36</v>
      </c>
      <c r="G221" s="6" t="s">
        <v>37</v>
      </c>
      <c r="H221" s="6" t="s">
        <v>38</v>
      </c>
    </row>
    <row r="222" spans="1:8" x14ac:dyDescent="0.35">
      <c r="A222" s="6" t="s">
        <v>5</v>
      </c>
      <c r="B222" s="6" t="s">
        <v>184</v>
      </c>
      <c r="C222" s="21">
        <v>8702</v>
      </c>
      <c r="D222" s="19">
        <v>41988</v>
      </c>
      <c r="E222" s="6" t="s">
        <v>174</v>
      </c>
      <c r="F222" s="6" t="s">
        <v>99</v>
      </c>
      <c r="G222" s="6" t="s">
        <v>28</v>
      </c>
      <c r="H222" s="6" t="s">
        <v>46</v>
      </c>
    </row>
    <row r="223" spans="1:8" x14ac:dyDescent="0.35">
      <c r="A223" s="6" t="s">
        <v>5</v>
      </c>
      <c r="B223" s="6" t="s">
        <v>184</v>
      </c>
      <c r="C223" s="21">
        <v>5021</v>
      </c>
      <c r="D223" s="19">
        <v>41989</v>
      </c>
      <c r="E223" s="6" t="s">
        <v>175</v>
      </c>
      <c r="F223" s="6" t="s">
        <v>48</v>
      </c>
      <c r="G223" s="6" t="s">
        <v>37</v>
      </c>
      <c r="H223" s="6" t="s">
        <v>29</v>
      </c>
    </row>
    <row r="224" spans="1:8" x14ac:dyDescent="0.35">
      <c r="A224" s="6" t="s">
        <v>10</v>
      </c>
      <c r="B224" s="6" t="s">
        <v>184</v>
      </c>
      <c r="C224" s="21">
        <v>6000</v>
      </c>
      <c r="D224" s="19">
        <v>41989</v>
      </c>
      <c r="E224" s="6" t="s">
        <v>88</v>
      </c>
      <c r="F224" s="6" t="s">
        <v>48</v>
      </c>
      <c r="G224" s="6" t="s">
        <v>37</v>
      </c>
      <c r="H224" s="6" t="s">
        <v>42</v>
      </c>
    </row>
    <row r="225" spans="1:8" x14ac:dyDescent="0.35">
      <c r="A225" s="6" t="s">
        <v>5</v>
      </c>
      <c r="B225" s="6" t="s">
        <v>184</v>
      </c>
      <c r="C225" s="21">
        <v>9000</v>
      </c>
      <c r="D225" s="19">
        <v>41991</v>
      </c>
      <c r="E225" s="6" t="s">
        <v>176</v>
      </c>
      <c r="F225" s="6" t="s">
        <v>31</v>
      </c>
      <c r="G225" s="6" t="s">
        <v>28</v>
      </c>
      <c r="H225" s="6" t="s">
        <v>34</v>
      </c>
    </row>
    <row r="226" spans="1:8" x14ac:dyDescent="0.35">
      <c r="A226" s="6" t="s">
        <v>6</v>
      </c>
      <c r="B226" s="6" t="s">
        <v>184</v>
      </c>
      <c r="C226" s="21">
        <v>1541</v>
      </c>
      <c r="D226" s="19">
        <v>41992</v>
      </c>
      <c r="E226" s="6" t="s">
        <v>97</v>
      </c>
      <c r="F226" s="6" t="s">
        <v>40</v>
      </c>
      <c r="G226" s="6" t="s">
        <v>41</v>
      </c>
      <c r="H226" s="6" t="s">
        <v>29</v>
      </c>
    </row>
    <row r="227" spans="1:8" x14ac:dyDescent="0.35">
      <c r="A227" s="6" t="s">
        <v>9</v>
      </c>
      <c r="B227" s="6" t="s">
        <v>184</v>
      </c>
      <c r="C227" s="21">
        <v>2782</v>
      </c>
      <c r="D227" s="19">
        <v>41993</v>
      </c>
      <c r="E227" s="6" t="s">
        <v>177</v>
      </c>
      <c r="F227" s="6" t="s">
        <v>57</v>
      </c>
      <c r="G227" s="6" t="s">
        <v>41</v>
      </c>
      <c r="H227" s="6" t="s">
        <v>42</v>
      </c>
    </row>
    <row r="228" spans="1:8" x14ac:dyDescent="0.35">
      <c r="A228" s="6" t="s">
        <v>10</v>
      </c>
      <c r="B228" s="6" t="s">
        <v>184</v>
      </c>
      <c r="C228" s="21">
        <v>2455</v>
      </c>
      <c r="D228" s="19">
        <v>41993</v>
      </c>
      <c r="E228" s="6" t="s">
        <v>158</v>
      </c>
      <c r="F228" s="6" t="s">
        <v>31</v>
      </c>
      <c r="G228" s="6" t="s">
        <v>28</v>
      </c>
      <c r="H228" s="6" t="s">
        <v>42</v>
      </c>
    </row>
    <row r="229" spans="1:8" x14ac:dyDescent="0.35">
      <c r="A229" s="6" t="s">
        <v>10</v>
      </c>
      <c r="B229" s="6" t="s">
        <v>18</v>
      </c>
      <c r="C229" s="21">
        <v>8752</v>
      </c>
      <c r="D229" s="19">
        <v>41995</v>
      </c>
      <c r="E229" s="6" t="s">
        <v>60</v>
      </c>
      <c r="F229" s="6" t="s">
        <v>36</v>
      </c>
      <c r="G229" s="6" t="s">
        <v>37</v>
      </c>
      <c r="H229" s="6" t="s">
        <v>29</v>
      </c>
    </row>
    <row r="230" spans="1:8" x14ac:dyDescent="0.35">
      <c r="A230" s="6" t="s">
        <v>7</v>
      </c>
      <c r="B230" s="6" t="s">
        <v>16</v>
      </c>
      <c r="C230" s="21">
        <v>9127</v>
      </c>
      <c r="D230" s="19">
        <v>41998</v>
      </c>
      <c r="E230" s="6" t="s">
        <v>178</v>
      </c>
      <c r="F230" s="6" t="s">
        <v>36</v>
      </c>
      <c r="G230" s="6" t="s">
        <v>37</v>
      </c>
      <c r="H230" s="6" t="s">
        <v>29</v>
      </c>
    </row>
    <row r="231" spans="1:8" x14ac:dyDescent="0.35">
      <c r="A231" s="6" t="s">
        <v>10</v>
      </c>
      <c r="B231" s="6" t="s">
        <v>18</v>
      </c>
      <c r="C231" s="21">
        <v>1777</v>
      </c>
      <c r="D231" s="19">
        <v>42001</v>
      </c>
      <c r="E231" s="6" t="s">
        <v>123</v>
      </c>
      <c r="F231" s="6" t="s">
        <v>84</v>
      </c>
      <c r="G231" s="6" t="s">
        <v>28</v>
      </c>
      <c r="H231" s="6" t="s">
        <v>38</v>
      </c>
    </row>
    <row r="232" spans="1:8" x14ac:dyDescent="0.35">
      <c r="A232" s="6" t="s">
        <v>6</v>
      </c>
      <c r="B232" s="6" t="s">
        <v>18</v>
      </c>
      <c r="C232" s="21">
        <v>680</v>
      </c>
      <c r="D232" s="19">
        <v>42001</v>
      </c>
      <c r="E232" s="6" t="s">
        <v>169</v>
      </c>
      <c r="F232" s="6" t="s">
        <v>44</v>
      </c>
      <c r="G232" s="6" t="s">
        <v>45</v>
      </c>
      <c r="H232" s="6" t="s">
        <v>46</v>
      </c>
    </row>
    <row r="233" spans="1:8" x14ac:dyDescent="0.35">
      <c r="A233" s="6" t="s">
        <v>9</v>
      </c>
      <c r="B233" s="6" t="s">
        <v>18</v>
      </c>
      <c r="C233" s="21">
        <v>958</v>
      </c>
      <c r="D233" s="19">
        <v>42002</v>
      </c>
      <c r="E233" s="6" t="s">
        <v>179</v>
      </c>
      <c r="F233" s="6" t="s">
        <v>44</v>
      </c>
      <c r="G233" s="6" t="s">
        <v>45</v>
      </c>
      <c r="H233" s="6" t="s">
        <v>46</v>
      </c>
    </row>
    <row r="234" spans="1:8" x14ac:dyDescent="0.35">
      <c r="A234" s="6" t="s">
        <v>9</v>
      </c>
      <c r="B234" s="6" t="s">
        <v>18</v>
      </c>
      <c r="C234" s="21">
        <v>958</v>
      </c>
      <c r="D234" s="19">
        <v>42003</v>
      </c>
      <c r="E234" s="6" t="s">
        <v>180</v>
      </c>
      <c r="F234" s="6" t="s">
        <v>181</v>
      </c>
      <c r="G234" s="6" t="s">
        <v>63</v>
      </c>
      <c r="H234" s="6" t="s">
        <v>46</v>
      </c>
    </row>
    <row r="235" spans="1:8" x14ac:dyDescent="0.35">
      <c r="A235" s="6" t="s">
        <v>7</v>
      </c>
      <c r="B235" s="6" t="s">
        <v>19</v>
      </c>
      <c r="C235" s="21">
        <v>2613</v>
      </c>
      <c r="D235" s="19">
        <v>42002</v>
      </c>
      <c r="E235" s="6" t="s">
        <v>182</v>
      </c>
      <c r="F235" s="6" t="s">
        <v>44</v>
      </c>
      <c r="G235" s="6" t="s">
        <v>45</v>
      </c>
      <c r="H235" s="6" t="s">
        <v>34</v>
      </c>
    </row>
    <row r="236" spans="1:8" x14ac:dyDescent="0.35">
      <c r="A236" s="6" t="s">
        <v>7</v>
      </c>
      <c r="B236" s="6" t="s">
        <v>18</v>
      </c>
      <c r="C236" s="21">
        <v>339</v>
      </c>
      <c r="D236" s="19">
        <v>42003</v>
      </c>
      <c r="E236" s="6" t="s">
        <v>121</v>
      </c>
      <c r="F236" s="6" t="s">
        <v>122</v>
      </c>
      <c r="G236" s="6" t="s">
        <v>37</v>
      </c>
      <c r="H236" s="6" t="s">
        <v>29</v>
      </c>
    </row>
    <row r="237" spans="1:8" x14ac:dyDescent="0.35">
      <c r="A237" s="6" t="s">
        <v>6</v>
      </c>
      <c r="B237" s="6" t="s">
        <v>18</v>
      </c>
      <c r="C237" s="21">
        <v>1000</v>
      </c>
      <c r="D237" s="19">
        <v>42003</v>
      </c>
      <c r="E237" s="6" t="s">
        <v>147</v>
      </c>
      <c r="F237" s="6" t="s">
        <v>148</v>
      </c>
      <c r="G237" s="6" t="s">
        <v>63</v>
      </c>
      <c r="H237" s="6" t="s">
        <v>38</v>
      </c>
    </row>
    <row r="238" spans="1:8" x14ac:dyDescent="0.35">
      <c r="A238" s="6" t="s">
        <v>9</v>
      </c>
      <c r="B238" s="6" t="s">
        <v>19</v>
      </c>
      <c r="C238" s="21">
        <v>1000</v>
      </c>
      <c r="D238" s="19">
        <v>42003</v>
      </c>
      <c r="E238" s="6" t="s">
        <v>121</v>
      </c>
      <c r="F238" s="6" t="s">
        <v>66</v>
      </c>
      <c r="G238" s="6" t="s">
        <v>28</v>
      </c>
      <c r="H238" s="6" t="s">
        <v>42</v>
      </c>
    </row>
    <row r="239" spans="1:8" x14ac:dyDescent="0.35">
      <c r="A239" s="6" t="s">
        <v>4</v>
      </c>
      <c r="B239" s="6" t="s">
        <v>20</v>
      </c>
      <c r="C239" s="21">
        <v>2824</v>
      </c>
      <c r="D239" s="19">
        <v>41661</v>
      </c>
      <c r="E239" s="6" t="s">
        <v>58</v>
      </c>
      <c r="F239" s="6" t="s">
        <v>57</v>
      </c>
      <c r="G239" s="6" t="s">
        <v>41</v>
      </c>
      <c r="H239" s="6" t="s">
        <v>29</v>
      </c>
    </row>
    <row r="240" spans="1:8" x14ac:dyDescent="0.35">
      <c r="A240" s="6" t="s">
        <v>10</v>
      </c>
      <c r="B240" s="6" t="s">
        <v>21</v>
      </c>
      <c r="C240" s="21">
        <v>6946</v>
      </c>
      <c r="D240" s="19">
        <v>41663</v>
      </c>
      <c r="E240" s="6" t="s">
        <v>59</v>
      </c>
      <c r="F240" s="6" t="s">
        <v>36</v>
      </c>
      <c r="G240" s="6" t="s">
        <v>37</v>
      </c>
      <c r="H240" s="6" t="s">
        <v>38</v>
      </c>
    </row>
    <row r="241" spans="1:8" x14ac:dyDescent="0.35">
      <c r="A241" s="6" t="s">
        <v>5</v>
      </c>
      <c r="B241" s="6" t="s">
        <v>17</v>
      </c>
      <c r="C241" s="21">
        <v>2320</v>
      </c>
      <c r="D241" s="19">
        <v>41666</v>
      </c>
      <c r="E241" s="6" t="s">
        <v>60</v>
      </c>
      <c r="F241" s="6" t="s">
        <v>36</v>
      </c>
      <c r="G241" s="6" t="s">
        <v>37</v>
      </c>
      <c r="H241" s="6" t="s">
        <v>46</v>
      </c>
    </row>
    <row r="242" spans="1:8" x14ac:dyDescent="0.35">
      <c r="A242" s="6" t="s">
        <v>5</v>
      </c>
      <c r="B242" s="6" t="s">
        <v>17</v>
      </c>
      <c r="C242" s="21">
        <v>2116</v>
      </c>
      <c r="D242" s="19">
        <v>41667</v>
      </c>
      <c r="E242" s="6" t="s">
        <v>35</v>
      </c>
      <c r="F242" s="6" t="s">
        <v>36</v>
      </c>
      <c r="G242" s="6" t="s">
        <v>37</v>
      </c>
      <c r="H242" s="6" t="s">
        <v>29</v>
      </c>
    </row>
    <row r="243" spans="1:8" x14ac:dyDescent="0.35">
      <c r="A243" s="6" t="s">
        <v>5</v>
      </c>
      <c r="B243" s="6" t="s">
        <v>21</v>
      </c>
      <c r="C243" s="21">
        <v>1135</v>
      </c>
      <c r="D243" s="19">
        <v>41669</v>
      </c>
      <c r="E243" s="6" t="s">
        <v>61</v>
      </c>
      <c r="F243" s="6" t="s">
        <v>62</v>
      </c>
      <c r="G243" s="6" t="s">
        <v>63</v>
      </c>
      <c r="H243" s="6" t="s">
        <v>42</v>
      </c>
    </row>
    <row r="244" spans="1:8" x14ac:dyDescent="0.35">
      <c r="A244" s="6" t="s">
        <v>4</v>
      </c>
      <c r="B244" s="6" t="s">
        <v>21</v>
      </c>
      <c r="C244" s="21">
        <v>3595</v>
      </c>
      <c r="D244" s="19">
        <v>41669</v>
      </c>
      <c r="E244" s="6" t="s">
        <v>64</v>
      </c>
      <c r="F244" s="6" t="s">
        <v>57</v>
      </c>
      <c r="G244" s="6" t="s">
        <v>41</v>
      </c>
      <c r="H244" s="6" t="s">
        <v>34</v>
      </c>
    </row>
    <row r="245" spans="1:8" x14ac:dyDescent="0.35">
      <c r="A245" s="6" t="s">
        <v>10</v>
      </c>
      <c r="B245" s="6" t="s">
        <v>16</v>
      </c>
      <c r="C245" s="21">
        <v>1161</v>
      </c>
      <c r="D245" s="19">
        <v>41672</v>
      </c>
      <c r="E245" s="6" t="s">
        <v>43</v>
      </c>
      <c r="F245" s="6" t="s">
        <v>44</v>
      </c>
      <c r="G245" s="6" t="s">
        <v>45</v>
      </c>
      <c r="H245" s="6" t="s">
        <v>29</v>
      </c>
    </row>
    <row r="246" spans="1:8" x14ac:dyDescent="0.35">
      <c r="A246" s="6" t="s">
        <v>9</v>
      </c>
      <c r="B246" s="6" t="s">
        <v>16</v>
      </c>
      <c r="C246" s="21">
        <v>2256</v>
      </c>
      <c r="D246" s="19">
        <v>41674</v>
      </c>
      <c r="E246" s="6" t="s">
        <v>54</v>
      </c>
      <c r="F246" s="6" t="s">
        <v>50</v>
      </c>
      <c r="G246" s="6" t="s">
        <v>41</v>
      </c>
      <c r="H246" s="6" t="s">
        <v>42</v>
      </c>
    </row>
    <row r="247" spans="1:8" x14ac:dyDescent="0.35">
      <c r="A247" s="6" t="s">
        <v>5</v>
      </c>
      <c r="B247" s="6" t="s">
        <v>16</v>
      </c>
      <c r="C247" s="21">
        <v>3642</v>
      </c>
      <c r="D247" s="19">
        <v>41676</v>
      </c>
      <c r="E247" s="6" t="s">
        <v>65</v>
      </c>
      <c r="F247" s="6" t="s">
        <v>66</v>
      </c>
      <c r="G247" s="6" t="s">
        <v>28</v>
      </c>
      <c r="H247" s="6" t="s">
        <v>42</v>
      </c>
    </row>
    <row r="248" spans="1:8" x14ac:dyDescent="0.35">
      <c r="A248" s="6" t="s">
        <v>5</v>
      </c>
      <c r="B248" s="6" t="s">
        <v>15</v>
      </c>
      <c r="C248" s="21">
        <v>4582</v>
      </c>
      <c r="D248" s="19">
        <v>41682</v>
      </c>
      <c r="E248" s="6" t="s">
        <v>67</v>
      </c>
      <c r="F248" s="6" t="s">
        <v>44</v>
      </c>
      <c r="G248" s="6" t="s">
        <v>45</v>
      </c>
      <c r="H248" s="6" t="s">
        <v>29</v>
      </c>
    </row>
    <row r="249" spans="1:8" x14ac:dyDescent="0.35">
      <c r="A249" s="6" t="s">
        <v>6</v>
      </c>
      <c r="B249" s="6" t="s">
        <v>16</v>
      </c>
      <c r="C249" s="21">
        <v>3559</v>
      </c>
      <c r="D249" s="19">
        <v>41684</v>
      </c>
      <c r="E249" s="6" t="s">
        <v>68</v>
      </c>
      <c r="F249" s="6" t="s">
        <v>69</v>
      </c>
      <c r="G249" s="6" t="s">
        <v>41</v>
      </c>
      <c r="H249" s="6" t="s">
        <v>29</v>
      </c>
    </row>
    <row r="250" spans="1:8" x14ac:dyDescent="0.35">
      <c r="A250" s="6" t="s">
        <v>7</v>
      </c>
      <c r="B250" s="6" t="s">
        <v>15</v>
      </c>
      <c r="C250" s="21">
        <v>5154</v>
      </c>
      <c r="D250" s="19">
        <v>41687</v>
      </c>
      <c r="E250" s="6" t="s">
        <v>70</v>
      </c>
      <c r="F250" s="6" t="s">
        <v>69</v>
      </c>
      <c r="G250" s="6" t="s">
        <v>41</v>
      </c>
      <c r="H250" s="6" t="s">
        <v>38</v>
      </c>
    </row>
    <row r="251" spans="1:8" x14ac:dyDescent="0.35">
      <c r="A251" s="6" t="s">
        <v>8</v>
      </c>
      <c r="B251" s="6" t="s">
        <v>16</v>
      </c>
      <c r="C251" s="21">
        <v>7388</v>
      </c>
      <c r="D251" s="19">
        <v>41688</v>
      </c>
      <c r="E251" s="6" t="s">
        <v>30</v>
      </c>
      <c r="F251" s="6" t="s">
        <v>31</v>
      </c>
      <c r="G251" s="6" t="s">
        <v>28</v>
      </c>
      <c r="H251" s="6" t="s">
        <v>46</v>
      </c>
    </row>
    <row r="252" spans="1:8" x14ac:dyDescent="0.35">
      <c r="A252" s="6" t="s">
        <v>6</v>
      </c>
      <c r="B252" s="6" t="s">
        <v>15</v>
      </c>
      <c r="C252" s="21">
        <v>7163</v>
      </c>
      <c r="D252" s="19">
        <v>41688</v>
      </c>
      <c r="E252" s="6" t="s">
        <v>71</v>
      </c>
      <c r="F252" s="6" t="s">
        <v>72</v>
      </c>
      <c r="G252" s="6" t="s">
        <v>41</v>
      </c>
      <c r="H252" s="6" t="s">
        <v>46</v>
      </c>
    </row>
    <row r="253" spans="1:8" x14ac:dyDescent="0.35">
      <c r="A253" s="6" t="s">
        <v>6</v>
      </c>
      <c r="B253" s="6" t="s">
        <v>16</v>
      </c>
      <c r="C253" s="21">
        <v>5101</v>
      </c>
      <c r="D253" s="19">
        <v>41690</v>
      </c>
      <c r="E253" s="6" t="s">
        <v>54</v>
      </c>
      <c r="F253" s="6" t="s">
        <v>50</v>
      </c>
      <c r="G253" s="6" t="s">
        <v>41</v>
      </c>
      <c r="H253" s="6" t="s">
        <v>46</v>
      </c>
    </row>
    <row r="254" spans="1:8" x14ac:dyDescent="0.35">
      <c r="A254" s="6" t="s">
        <v>10</v>
      </c>
      <c r="B254" s="6" t="s">
        <v>15</v>
      </c>
      <c r="C254" s="21">
        <v>7602</v>
      </c>
      <c r="D254" s="19">
        <v>41691</v>
      </c>
      <c r="E254" s="6" t="s">
        <v>43</v>
      </c>
      <c r="F254" s="6" t="s">
        <v>44</v>
      </c>
      <c r="G254" s="6" t="s">
        <v>45</v>
      </c>
      <c r="H254" s="6" t="s">
        <v>34</v>
      </c>
    </row>
    <row r="255" spans="1:8" x14ac:dyDescent="0.35">
      <c r="A255" s="6" t="s">
        <v>8</v>
      </c>
      <c r="B255" s="6" t="s">
        <v>16</v>
      </c>
      <c r="C255" s="21">
        <v>1641</v>
      </c>
      <c r="D255" s="19">
        <v>41692</v>
      </c>
      <c r="E255" s="6" t="s">
        <v>73</v>
      </c>
      <c r="F255" s="6" t="s">
        <v>62</v>
      </c>
      <c r="G255" s="6" t="s">
        <v>63</v>
      </c>
      <c r="H255" s="6" t="s">
        <v>29</v>
      </c>
    </row>
    <row r="256" spans="1:8" x14ac:dyDescent="0.35">
      <c r="A256" s="6" t="s">
        <v>10</v>
      </c>
      <c r="B256" s="6" t="s">
        <v>15</v>
      </c>
      <c r="C256" s="21">
        <v>8892</v>
      </c>
      <c r="D256" s="19">
        <v>41693</v>
      </c>
      <c r="E256" s="6" t="s">
        <v>74</v>
      </c>
      <c r="F256" s="6" t="s">
        <v>36</v>
      </c>
      <c r="G256" s="6" t="s">
        <v>37</v>
      </c>
      <c r="H256" s="6" t="s">
        <v>34</v>
      </c>
    </row>
    <row r="257" spans="1:8" x14ac:dyDescent="0.35">
      <c r="A257" s="6" t="s">
        <v>10</v>
      </c>
      <c r="B257" s="6" t="s">
        <v>16</v>
      </c>
      <c r="C257" s="21">
        <v>2060</v>
      </c>
      <c r="D257" s="19">
        <v>41698</v>
      </c>
      <c r="E257" s="6" t="s">
        <v>75</v>
      </c>
      <c r="F257" s="6" t="s">
        <v>76</v>
      </c>
      <c r="G257" s="6" t="s">
        <v>53</v>
      </c>
      <c r="H257" s="6" t="s">
        <v>34</v>
      </c>
    </row>
    <row r="258" spans="1:8" x14ac:dyDescent="0.35">
      <c r="A258" s="6" t="s">
        <v>4</v>
      </c>
      <c r="B258" s="6" t="s">
        <v>15</v>
      </c>
      <c r="C258" s="21">
        <v>1557</v>
      </c>
      <c r="D258" s="19">
        <v>41698</v>
      </c>
      <c r="E258" s="6" t="s">
        <v>77</v>
      </c>
      <c r="F258" s="6" t="s">
        <v>78</v>
      </c>
      <c r="G258" s="6" t="s">
        <v>45</v>
      </c>
      <c r="H258" s="6" t="s">
        <v>29</v>
      </c>
    </row>
    <row r="259" spans="1:8" x14ac:dyDescent="0.35">
      <c r="A259" s="6" t="s">
        <v>10</v>
      </c>
      <c r="B259" s="6" t="s">
        <v>16</v>
      </c>
      <c r="C259" s="21">
        <v>6509</v>
      </c>
      <c r="D259" s="19">
        <v>41699</v>
      </c>
      <c r="E259" s="6" t="s">
        <v>79</v>
      </c>
      <c r="F259" s="6" t="s">
        <v>80</v>
      </c>
      <c r="G259" s="6" t="s">
        <v>45</v>
      </c>
      <c r="H259" s="6" t="s">
        <v>38</v>
      </c>
    </row>
    <row r="260" spans="1:8" x14ac:dyDescent="0.35">
      <c r="A260" s="6" t="s">
        <v>10</v>
      </c>
      <c r="B260" s="6" t="s">
        <v>17</v>
      </c>
      <c r="C260" s="21">
        <v>5718</v>
      </c>
      <c r="D260" s="19">
        <v>41702</v>
      </c>
      <c r="E260" s="6" t="s">
        <v>81</v>
      </c>
      <c r="F260" s="6" t="s">
        <v>82</v>
      </c>
      <c r="G260" s="6" t="s">
        <v>45</v>
      </c>
      <c r="H260" s="6" t="s">
        <v>46</v>
      </c>
    </row>
    <row r="261" spans="1:8" x14ac:dyDescent="0.35">
      <c r="A261" s="6" t="s">
        <v>10</v>
      </c>
      <c r="B261" s="6" t="s">
        <v>18</v>
      </c>
      <c r="C261" s="21">
        <v>7655</v>
      </c>
      <c r="D261" s="19">
        <v>41703</v>
      </c>
      <c r="E261" s="6" t="s">
        <v>83</v>
      </c>
      <c r="F261" s="6" t="s">
        <v>84</v>
      </c>
      <c r="G261" s="6" t="s">
        <v>28</v>
      </c>
      <c r="H261" s="6" t="s">
        <v>29</v>
      </c>
    </row>
    <row r="262" spans="1:8" x14ac:dyDescent="0.35">
      <c r="A262" s="6" t="s">
        <v>7</v>
      </c>
      <c r="B262" s="6" t="s">
        <v>20</v>
      </c>
      <c r="C262" s="21">
        <v>9116</v>
      </c>
      <c r="D262" s="19">
        <v>41703</v>
      </c>
      <c r="E262" s="6" t="s">
        <v>85</v>
      </c>
      <c r="F262" s="6" t="s">
        <v>86</v>
      </c>
      <c r="G262" s="6" t="s">
        <v>28</v>
      </c>
      <c r="H262" s="6" t="s">
        <v>42</v>
      </c>
    </row>
    <row r="263" spans="1:8" x14ac:dyDescent="0.35">
      <c r="A263" s="6" t="s">
        <v>5</v>
      </c>
      <c r="B263" s="6" t="s">
        <v>18</v>
      </c>
      <c r="C263" s="21">
        <v>2795</v>
      </c>
      <c r="D263" s="19">
        <v>41713</v>
      </c>
      <c r="E263" s="6" t="s">
        <v>87</v>
      </c>
      <c r="F263" s="6" t="s">
        <v>52</v>
      </c>
      <c r="G263" s="6" t="s">
        <v>53</v>
      </c>
      <c r="H263" s="6" t="s">
        <v>34</v>
      </c>
    </row>
    <row r="264" spans="1:8" x14ac:dyDescent="0.35">
      <c r="A264" s="6" t="s">
        <v>5</v>
      </c>
      <c r="B264" s="6" t="s">
        <v>18</v>
      </c>
      <c r="C264" s="21">
        <v>5084</v>
      </c>
      <c r="D264" s="19">
        <v>41713</v>
      </c>
      <c r="E264" s="6" t="s">
        <v>35</v>
      </c>
      <c r="F264" s="6" t="s">
        <v>36</v>
      </c>
      <c r="G264" s="6" t="s">
        <v>37</v>
      </c>
      <c r="H264" s="6" t="s">
        <v>29</v>
      </c>
    </row>
    <row r="265" spans="1:8" x14ac:dyDescent="0.35">
      <c r="A265" s="6" t="s">
        <v>7</v>
      </c>
      <c r="B265" s="6" t="s">
        <v>18</v>
      </c>
      <c r="C265" s="21">
        <v>8941</v>
      </c>
      <c r="D265" s="19">
        <v>41713</v>
      </c>
      <c r="E265" s="6" t="s">
        <v>65</v>
      </c>
      <c r="F265" s="6" t="s">
        <v>66</v>
      </c>
      <c r="G265" s="6" t="s">
        <v>28</v>
      </c>
      <c r="H265" s="6" t="s">
        <v>42</v>
      </c>
    </row>
    <row r="266" spans="1:8" x14ac:dyDescent="0.35">
      <c r="A266" s="6" t="s">
        <v>4</v>
      </c>
      <c r="B266" s="6" t="s">
        <v>20</v>
      </c>
      <c r="C266" s="21">
        <v>5341</v>
      </c>
      <c r="D266" s="19">
        <v>41714</v>
      </c>
      <c r="E266" s="6" t="s">
        <v>88</v>
      </c>
      <c r="F266" s="6" t="s">
        <v>48</v>
      </c>
      <c r="G266" s="6" t="s">
        <v>37</v>
      </c>
      <c r="H266" s="6" t="s">
        <v>42</v>
      </c>
    </row>
    <row r="267" spans="1:8" x14ac:dyDescent="0.35">
      <c r="A267" s="6" t="s">
        <v>5</v>
      </c>
      <c r="B267" s="6" t="s">
        <v>20</v>
      </c>
      <c r="C267" s="21">
        <v>135</v>
      </c>
      <c r="D267" s="19">
        <v>41717</v>
      </c>
      <c r="E267" s="6" t="s">
        <v>74</v>
      </c>
      <c r="F267" s="6" t="s">
        <v>36</v>
      </c>
      <c r="G267" s="6" t="s">
        <v>37</v>
      </c>
      <c r="H267" s="6" t="s">
        <v>29</v>
      </c>
    </row>
    <row r="268" spans="1:8" x14ac:dyDescent="0.35">
      <c r="A268" s="6" t="s">
        <v>5</v>
      </c>
      <c r="B268" s="6" t="s">
        <v>21</v>
      </c>
      <c r="C268" s="21">
        <v>9400</v>
      </c>
      <c r="D268" s="19">
        <v>41717</v>
      </c>
      <c r="E268" s="6" t="s">
        <v>89</v>
      </c>
      <c r="F268" s="6" t="s">
        <v>72</v>
      </c>
      <c r="G268" s="6" t="s">
        <v>41</v>
      </c>
      <c r="H268" s="6" t="s">
        <v>29</v>
      </c>
    </row>
    <row r="269" spans="1:8" x14ac:dyDescent="0.35">
      <c r="A269" s="6" t="s">
        <v>6</v>
      </c>
      <c r="B269" s="6" t="s">
        <v>20</v>
      </c>
      <c r="C269" s="21">
        <v>6045</v>
      </c>
      <c r="D269" s="19">
        <v>41719</v>
      </c>
      <c r="E269" s="6" t="s">
        <v>90</v>
      </c>
      <c r="F269" s="6" t="s">
        <v>91</v>
      </c>
      <c r="G269" s="6" t="s">
        <v>63</v>
      </c>
      <c r="H269" s="6" t="s">
        <v>38</v>
      </c>
    </row>
    <row r="270" spans="1:8" x14ac:dyDescent="0.35">
      <c r="A270" s="6" t="s">
        <v>9</v>
      </c>
      <c r="B270" s="6" t="s">
        <v>18</v>
      </c>
      <c r="C270" s="21">
        <v>8887</v>
      </c>
      <c r="D270" s="19">
        <v>41721</v>
      </c>
      <c r="E270" s="6" t="s">
        <v>92</v>
      </c>
      <c r="F270" s="6" t="s">
        <v>40</v>
      </c>
      <c r="G270" s="6" t="s">
        <v>41</v>
      </c>
      <c r="H270" s="6" t="s">
        <v>46</v>
      </c>
    </row>
    <row r="271" spans="1:8" x14ac:dyDescent="0.35">
      <c r="A271" s="6" t="s">
        <v>9</v>
      </c>
      <c r="B271" s="6" t="s">
        <v>18</v>
      </c>
      <c r="C271" s="21">
        <v>6982</v>
      </c>
      <c r="D271" s="19">
        <v>41722</v>
      </c>
      <c r="E271" s="6" t="s">
        <v>93</v>
      </c>
      <c r="F271" s="6" t="s">
        <v>78</v>
      </c>
      <c r="G271" s="6" t="s">
        <v>45</v>
      </c>
      <c r="H271" s="6" t="s">
        <v>46</v>
      </c>
    </row>
    <row r="272" spans="1:8" x14ac:dyDescent="0.35">
      <c r="A272" s="6" t="s">
        <v>5</v>
      </c>
      <c r="B272" s="6" t="s">
        <v>21</v>
      </c>
      <c r="C272" s="21">
        <v>4029</v>
      </c>
      <c r="D272" s="19">
        <v>41724</v>
      </c>
      <c r="E272" s="6" t="s">
        <v>65</v>
      </c>
      <c r="F272" s="6" t="s">
        <v>66</v>
      </c>
      <c r="G272" s="6" t="s">
        <v>28</v>
      </c>
      <c r="H272" s="6" t="s">
        <v>46</v>
      </c>
    </row>
    <row r="273" spans="1:8" x14ac:dyDescent="0.35">
      <c r="A273" s="6" t="s">
        <v>7</v>
      </c>
      <c r="B273" s="6" t="s">
        <v>18</v>
      </c>
      <c r="C273" s="21">
        <v>3665</v>
      </c>
      <c r="D273" s="19">
        <v>41724</v>
      </c>
      <c r="E273" s="6" t="s">
        <v>47</v>
      </c>
      <c r="F273" s="6" t="s">
        <v>48</v>
      </c>
      <c r="G273" s="6" t="s">
        <v>37</v>
      </c>
      <c r="H273" s="6" t="s">
        <v>34</v>
      </c>
    </row>
    <row r="274" spans="1:8" x14ac:dyDescent="0.35">
      <c r="A274" s="6" t="s">
        <v>5</v>
      </c>
      <c r="B274" s="6" t="s">
        <v>18</v>
      </c>
      <c r="C274" s="21">
        <v>4781</v>
      </c>
      <c r="D274" s="19">
        <v>41727</v>
      </c>
      <c r="E274" s="6" t="s">
        <v>94</v>
      </c>
      <c r="F274" s="6" t="s">
        <v>44</v>
      </c>
      <c r="G274" s="6" t="s">
        <v>45</v>
      </c>
      <c r="H274" s="6" t="s">
        <v>29</v>
      </c>
    </row>
    <row r="275" spans="1:8" x14ac:dyDescent="0.35">
      <c r="A275" s="6" t="s">
        <v>8</v>
      </c>
      <c r="B275" s="6" t="s">
        <v>21</v>
      </c>
      <c r="C275" s="21">
        <v>3663</v>
      </c>
      <c r="D275" s="19">
        <v>41728</v>
      </c>
      <c r="E275" s="6" t="s">
        <v>95</v>
      </c>
      <c r="F275" s="6" t="s">
        <v>36</v>
      </c>
      <c r="G275" s="6" t="s">
        <v>37</v>
      </c>
      <c r="H275" s="6" t="s">
        <v>34</v>
      </c>
    </row>
    <row r="276" spans="1:8" x14ac:dyDescent="0.35">
      <c r="A276" s="6" t="s">
        <v>10</v>
      </c>
      <c r="B276" s="6" t="s">
        <v>21</v>
      </c>
      <c r="C276" s="21">
        <v>6331</v>
      </c>
      <c r="D276" s="19">
        <v>41730</v>
      </c>
      <c r="E276" s="6" t="s">
        <v>96</v>
      </c>
      <c r="F276" s="6" t="s">
        <v>36</v>
      </c>
      <c r="G276" s="6" t="s">
        <v>37</v>
      </c>
      <c r="H276" s="6" t="s">
        <v>34</v>
      </c>
    </row>
    <row r="277" spans="1:8" x14ac:dyDescent="0.35">
      <c r="A277" s="6" t="s">
        <v>10</v>
      </c>
      <c r="B277" s="6" t="s">
        <v>18</v>
      </c>
      <c r="C277" s="21">
        <v>4364</v>
      </c>
      <c r="D277" s="19">
        <v>41730</v>
      </c>
      <c r="E277" s="6" t="s">
        <v>97</v>
      </c>
      <c r="F277" s="6" t="s">
        <v>40</v>
      </c>
      <c r="G277" s="6" t="s">
        <v>41</v>
      </c>
      <c r="H277" s="6" t="s">
        <v>29</v>
      </c>
    </row>
    <row r="278" spans="1:8" x14ac:dyDescent="0.35">
      <c r="A278" s="6" t="s">
        <v>7</v>
      </c>
      <c r="B278" s="6" t="s">
        <v>20</v>
      </c>
      <c r="C278" s="21">
        <v>607</v>
      </c>
      <c r="D278" s="19">
        <v>41732</v>
      </c>
      <c r="E278" s="6" t="s">
        <v>26</v>
      </c>
      <c r="F278" s="6" t="s">
        <v>27</v>
      </c>
      <c r="G278" s="6" t="s">
        <v>28</v>
      </c>
      <c r="H278" s="6" t="s">
        <v>38</v>
      </c>
    </row>
    <row r="279" spans="1:8" x14ac:dyDescent="0.35">
      <c r="A279" s="6" t="s">
        <v>7</v>
      </c>
      <c r="B279" s="6" t="s">
        <v>18</v>
      </c>
      <c r="C279" s="21">
        <v>7659</v>
      </c>
      <c r="D279" s="19">
        <v>41735</v>
      </c>
      <c r="E279" s="6" t="s">
        <v>30</v>
      </c>
      <c r="F279" s="6" t="s">
        <v>31</v>
      </c>
      <c r="G279" s="6" t="s">
        <v>28</v>
      </c>
      <c r="H279" s="6" t="s">
        <v>46</v>
      </c>
    </row>
    <row r="280" spans="1:8" x14ac:dyDescent="0.35">
      <c r="A280" s="6" t="s">
        <v>4</v>
      </c>
      <c r="B280" s="6" t="s">
        <v>21</v>
      </c>
      <c r="C280" s="21">
        <v>277</v>
      </c>
      <c r="D280" s="19">
        <v>41741</v>
      </c>
      <c r="E280" s="6" t="s">
        <v>56</v>
      </c>
      <c r="F280" s="6" t="s">
        <v>57</v>
      </c>
      <c r="G280" s="6" t="s">
        <v>41</v>
      </c>
      <c r="H280" s="6" t="s">
        <v>29</v>
      </c>
    </row>
    <row r="281" spans="1:8" x14ac:dyDescent="0.35">
      <c r="A281" s="6" t="s">
        <v>5</v>
      </c>
      <c r="B281" s="6" t="s">
        <v>184</v>
      </c>
      <c r="C281" s="21">
        <v>235</v>
      </c>
      <c r="D281" s="19">
        <v>41746</v>
      </c>
      <c r="E281" s="6" t="s">
        <v>58</v>
      </c>
      <c r="F281" s="6" t="s">
        <v>57</v>
      </c>
      <c r="G281" s="6" t="s">
        <v>41</v>
      </c>
      <c r="H281" s="6" t="s">
        <v>42</v>
      </c>
    </row>
    <row r="282" spans="1:8" x14ac:dyDescent="0.35">
      <c r="A282" s="6" t="s">
        <v>9</v>
      </c>
      <c r="B282" s="6" t="s">
        <v>18</v>
      </c>
      <c r="C282" s="21">
        <v>1113</v>
      </c>
      <c r="D282" s="19">
        <v>41747</v>
      </c>
      <c r="E282" s="6" t="s">
        <v>98</v>
      </c>
      <c r="F282" s="6" t="s">
        <v>99</v>
      </c>
      <c r="G282" s="6" t="s">
        <v>28</v>
      </c>
      <c r="H282" s="6" t="s">
        <v>34</v>
      </c>
    </row>
    <row r="283" spans="1:8" x14ac:dyDescent="0.35">
      <c r="A283" s="6" t="s">
        <v>10</v>
      </c>
      <c r="B283" s="6" t="s">
        <v>21</v>
      </c>
      <c r="C283" s="21">
        <v>1128</v>
      </c>
      <c r="D283" s="19">
        <v>41750</v>
      </c>
      <c r="E283" s="6" t="s">
        <v>54</v>
      </c>
      <c r="F283" s="6" t="s">
        <v>50</v>
      </c>
      <c r="G283" s="6" t="s">
        <v>41</v>
      </c>
      <c r="H283" s="6" t="s">
        <v>29</v>
      </c>
    </row>
    <row r="284" spans="1:8" x14ac:dyDescent="0.35">
      <c r="A284" s="6" t="s">
        <v>4</v>
      </c>
      <c r="B284" s="6" t="s">
        <v>18</v>
      </c>
      <c r="C284" s="21">
        <v>9231</v>
      </c>
      <c r="D284" s="19">
        <v>41751</v>
      </c>
      <c r="E284" s="6" t="s">
        <v>93</v>
      </c>
      <c r="F284" s="6" t="s">
        <v>78</v>
      </c>
      <c r="G284" s="6" t="s">
        <v>45</v>
      </c>
      <c r="H284" s="6" t="s">
        <v>42</v>
      </c>
    </row>
    <row r="285" spans="1:8" x14ac:dyDescent="0.35">
      <c r="A285" s="6" t="s">
        <v>5</v>
      </c>
      <c r="B285" s="6" t="s">
        <v>21</v>
      </c>
      <c r="C285" s="21">
        <v>4387</v>
      </c>
      <c r="D285" s="19">
        <v>41752</v>
      </c>
      <c r="E285" s="6" t="s">
        <v>100</v>
      </c>
      <c r="F285" s="6" t="s">
        <v>50</v>
      </c>
      <c r="G285" s="6" t="s">
        <v>41</v>
      </c>
      <c r="H285" s="6" t="s">
        <v>42</v>
      </c>
    </row>
    <row r="286" spans="1:8" x14ac:dyDescent="0.35">
      <c r="A286" s="6" t="s">
        <v>10</v>
      </c>
      <c r="B286" s="6" t="s">
        <v>15</v>
      </c>
      <c r="C286" s="21">
        <v>2763</v>
      </c>
      <c r="D286" s="19">
        <v>41754</v>
      </c>
      <c r="E286" s="6" t="s">
        <v>101</v>
      </c>
      <c r="F286" s="6" t="s">
        <v>48</v>
      </c>
      <c r="G286" s="6" t="s">
        <v>37</v>
      </c>
      <c r="H286" s="6" t="s">
        <v>29</v>
      </c>
    </row>
    <row r="287" spans="1:8" x14ac:dyDescent="0.35">
      <c r="A287" s="6" t="s">
        <v>5</v>
      </c>
      <c r="B287" s="6" t="s">
        <v>18</v>
      </c>
      <c r="C287" s="21">
        <v>7898</v>
      </c>
      <c r="D287" s="19">
        <v>41756</v>
      </c>
      <c r="E287" s="6" t="s">
        <v>102</v>
      </c>
      <c r="F287" s="6" t="s">
        <v>103</v>
      </c>
      <c r="G287" s="6" t="s">
        <v>63</v>
      </c>
      <c r="H287" s="6" t="s">
        <v>29</v>
      </c>
    </row>
    <row r="288" spans="1:8" x14ac:dyDescent="0.35">
      <c r="A288" s="6" t="s">
        <v>5</v>
      </c>
      <c r="B288" s="6" t="s">
        <v>18</v>
      </c>
      <c r="C288" s="21">
        <v>2427</v>
      </c>
      <c r="D288" s="19">
        <v>41759</v>
      </c>
      <c r="E288" s="6" t="s">
        <v>58</v>
      </c>
      <c r="F288" s="6" t="s">
        <v>57</v>
      </c>
      <c r="G288" s="6" t="s">
        <v>41</v>
      </c>
      <c r="H288" s="6" t="s">
        <v>38</v>
      </c>
    </row>
    <row r="289" spans="1:8" x14ac:dyDescent="0.35">
      <c r="A289" s="6" t="s">
        <v>7</v>
      </c>
      <c r="B289" s="6" t="s">
        <v>16</v>
      </c>
      <c r="C289" s="21">
        <v>2789</v>
      </c>
      <c r="D289" s="19">
        <v>41760</v>
      </c>
      <c r="E289" s="6" t="s">
        <v>68</v>
      </c>
      <c r="F289" s="6" t="s">
        <v>69</v>
      </c>
      <c r="G289" s="6" t="s">
        <v>41</v>
      </c>
      <c r="H289" s="6" t="s">
        <v>46</v>
      </c>
    </row>
    <row r="290" spans="1:8" x14ac:dyDescent="0.35">
      <c r="A290" s="6" t="s">
        <v>5</v>
      </c>
      <c r="B290" s="6" t="s">
        <v>18</v>
      </c>
      <c r="C290" s="21">
        <v>4054</v>
      </c>
      <c r="D290" s="19">
        <v>41761</v>
      </c>
      <c r="E290" s="6" t="s">
        <v>65</v>
      </c>
      <c r="F290" s="6" t="s">
        <v>66</v>
      </c>
      <c r="G290" s="6" t="s">
        <v>28</v>
      </c>
      <c r="H290" s="6" t="s">
        <v>46</v>
      </c>
    </row>
    <row r="291" spans="1:8" x14ac:dyDescent="0.35">
      <c r="A291" s="6" t="s">
        <v>8</v>
      </c>
      <c r="B291" s="6" t="s">
        <v>21</v>
      </c>
      <c r="C291" s="21">
        <v>2262</v>
      </c>
      <c r="D291" s="19">
        <v>41761</v>
      </c>
      <c r="E291" s="6" t="s">
        <v>90</v>
      </c>
      <c r="F291" s="6" t="s">
        <v>91</v>
      </c>
      <c r="G291" s="6" t="s">
        <v>63</v>
      </c>
      <c r="H291" s="6" t="s">
        <v>46</v>
      </c>
    </row>
    <row r="292" spans="1:8" x14ac:dyDescent="0.35">
      <c r="A292" s="6" t="s">
        <v>8</v>
      </c>
      <c r="B292" s="6" t="s">
        <v>19</v>
      </c>
      <c r="C292" s="21">
        <v>5600</v>
      </c>
      <c r="D292" s="19">
        <v>41761</v>
      </c>
      <c r="E292" s="6" t="s">
        <v>104</v>
      </c>
      <c r="F292" s="6" t="s">
        <v>57</v>
      </c>
      <c r="G292" s="6" t="s">
        <v>41</v>
      </c>
      <c r="H292" s="6" t="s">
        <v>34</v>
      </c>
    </row>
    <row r="293" spans="1:8" x14ac:dyDescent="0.35">
      <c r="A293" s="6" t="s">
        <v>5</v>
      </c>
      <c r="B293" s="6" t="s">
        <v>18</v>
      </c>
      <c r="C293" s="21">
        <v>5787</v>
      </c>
      <c r="D293" s="19">
        <v>41762</v>
      </c>
      <c r="E293" s="6" t="s">
        <v>68</v>
      </c>
      <c r="F293" s="6" t="s">
        <v>69</v>
      </c>
      <c r="G293" s="6" t="s">
        <v>41</v>
      </c>
      <c r="H293" s="6" t="s">
        <v>29</v>
      </c>
    </row>
    <row r="294" spans="1:8" x14ac:dyDescent="0.35">
      <c r="A294" s="6" t="s">
        <v>9</v>
      </c>
      <c r="B294" s="6" t="s">
        <v>18</v>
      </c>
      <c r="C294" s="21">
        <v>6295</v>
      </c>
      <c r="D294" s="19">
        <v>41762</v>
      </c>
      <c r="E294" s="6" t="s">
        <v>51</v>
      </c>
      <c r="F294" s="6" t="s">
        <v>52</v>
      </c>
      <c r="G294" s="6" t="s">
        <v>53</v>
      </c>
      <c r="H294" s="6" t="s">
        <v>34</v>
      </c>
    </row>
    <row r="295" spans="1:8" x14ac:dyDescent="0.35">
      <c r="A295" s="6" t="s">
        <v>5</v>
      </c>
      <c r="B295" s="6" t="s">
        <v>16</v>
      </c>
      <c r="C295" s="21">
        <v>474</v>
      </c>
      <c r="D295" s="19">
        <v>41764</v>
      </c>
      <c r="E295" s="6" t="s">
        <v>105</v>
      </c>
      <c r="F295" s="6" t="s">
        <v>50</v>
      </c>
      <c r="G295" s="6" t="s">
        <v>41</v>
      </c>
      <c r="H295" s="6" t="s">
        <v>34</v>
      </c>
    </row>
    <row r="296" spans="1:8" x14ac:dyDescent="0.35">
      <c r="A296" s="6" t="s">
        <v>10</v>
      </c>
      <c r="B296" s="6" t="s">
        <v>16</v>
      </c>
      <c r="C296" s="21">
        <v>10000</v>
      </c>
      <c r="D296" s="19">
        <v>41764</v>
      </c>
      <c r="E296" s="6" t="s">
        <v>106</v>
      </c>
      <c r="F296" s="6" t="s">
        <v>78</v>
      </c>
      <c r="G296" s="6" t="s">
        <v>45</v>
      </c>
      <c r="H296" s="6" t="s">
        <v>29</v>
      </c>
    </row>
    <row r="297" spans="1:8" x14ac:dyDescent="0.35">
      <c r="A297" s="6" t="s">
        <v>5</v>
      </c>
      <c r="B297" s="6" t="s">
        <v>16</v>
      </c>
      <c r="C297" s="21">
        <v>592</v>
      </c>
      <c r="D297" s="19">
        <v>41765</v>
      </c>
      <c r="E297" s="6" t="s">
        <v>13</v>
      </c>
      <c r="F297" s="6" t="s">
        <v>66</v>
      </c>
      <c r="G297" s="6" t="s">
        <v>28</v>
      </c>
      <c r="H297" s="6" t="s">
        <v>38</v>
      </c>
    </row>
    <row r="298" spans="1:8" x14ac:dyDescent="0.35">
      <c r="A298" s="6" t="s">
        <v>9</v>
      </c>
      <c r="B298" s="6" t="s">
        <v>16</v>
      </c>
      <c r="C298" s="21">
        <v>4330</v>
      </c>
      <c r="D298" s="19">
        <v>41767</v>
      </c>
      <c r="E298" s="6" t="s">
        <v>107</v>
      </c>
      <c r="F298" s="6" t="s">
        <v>99</v>
      </c>
      <c r="G298" s="6" t="s">
        <v>28</v>
      </c>
      <c r="H298" s="6" t="s">
        <v>46</v>
      </c>
    </row>
    <row r="299" spans="1:8" x14ac:dyDescent="0.35">
      <c r="A299" s="6" t="s">
        <v>5</v>
      </c>
      <c r="B299" s="6" t="s">
        <v>16</v>
      </c>
      <c r="C299" s="21">
        <v>9405</v>
      </c>
      <c r="D299" s="19">
        <v>41767</v>
      </c>
      <c r="E299" s="6" t="s">
        <v>108</v>
      </c>
      <c r="F299" s="6" t="s">
        <v>99</v>
      </c>
      <c r="G299" s="6" t="s">
        <v>28</v>
      </c>
      <c r="H299" s="6" t="s">
        <v>29</v>
      </c>
    </row>
    <row r="300" spans="1:8" x14ac:dyDescent="0.35">
      <c r="A300" s="6" t="s">
        <v>10</v>
      </c>
      <c r="B300" s="6" t="s">
        <v>18</v>
      </c>
      <c r="C300" s="21">
        <v>7671</v>
      </c>
      <c r="D300" s="19">
        <v>41767</v>
      </c>
      <c r="E300" s="6" t="s">
        <v>109</v>
      </c>
      <c r="F300" s="6" t="s">
        <v>50</v>
      </c>
      <c r="G300" s="6" t="s">
        <v>41</v>
      </c>
      <c r="H300" s="6" t="s">
        <v>42</v>
      </c>
    </row>
    <row r="301" spans="1:8" x14ac:dyDescent="0.35">
      <c r="A301" s="6" t="s">
        <v>7</v>
      </c>
      <c r="B301" s="6" t="s">
        <v>19</v>
      </c>
      <c r="C301" s="21">
        <v>5791</v>
      </c>
      <c r="D301" s="19">
        <v>41767</v>
      </c>
      <c r="E301" s="6" t="s">
        <v>43</v>
      </c>
      <c r="F301" s="6" t="s">
        <v>44</v>
      </c>
      <c r="G301" s="6" t="s">
        <v>45</v>
      </c>
      <c r="H301" s="6" t="s">
        <v>34</v>
      </c>
    </row>
    <row r="302" spans="1:8" x14ac:dyDescent="0.35">
      <c r="A302" s="6" t="s">
        <v>5</v>
      </c>
      <c r="B302" s="6" t="s">
        <v>18</v>
      </c>
      <c r="C302" s="21">
        <v>6007</v>
      </c>
      <c r="D302" s="19">
        <v>41771</v>
      </c>
      <c r="E302" s="6" t="s">
        <v>110</v>
      </c>
      <c r="F302" s="6" t="s">
        <v>50</v>
      </c>
      <c r="G302" s="6" t="s">
        <v>41</v>
      </c>
      <c r="H302" s="6" t="s">
        <v>29</v>
      </c>
    </row>
    <row r="303" spans="1:8" x14ac:dyDescent="0.35">
      <c r="A303" s="6" t="s">
        <v>5</v>
      </c>
      <c r="B303" s="6" t="s">
        <v>18</v>
      </c>
      <c r="C303" s="21">
        <v>5030</v>
      </c>
      <c r="D303" s="19">
        <v>41773</v>
      </c>
      <c r="E303" s="6" t="s">
        <v>58</v>
      </c>
      <c r="F303" s="6" t="s">
        <v>57</v>
      </c>
      <c r="G303" s="6" t="s">
        <v>41</v>
      </c>
      <c r="H303" s="6" t="s">
        <v>42</v>
      </c>
    </row>
    <row r="304" spans="1:8" x14ac:dyDescent="0.35">
      <c r="A304" s="6" t="s">
        <v>7</v>
      </c>
      <c r="B304" s="6" t="s">
        <v>15</v>
      </c>
      <c r="C304" s="21">
        <v>6763</v>
      </c>
      <c r="D304" s="19">
        <v>41773</v>
      </c>
      <c r="E304" s="6" t="s">
        <v>54</v>
      </c>
      <c r="F304" s="6" t="s">
        <v>50</v>
      </c>
      <c r="G304" s="6" t="s">
        <v>41</v>
      </c>
      <c r="H304" s="6" t="s">
        <v>42</v>
      </c>
    </row>
    <row r="305" spans="1:8" x14ac:dyDescent="0.35">
      <c r="A305" s="6" t="s">
        <v>5</v>
      </c>
      <c r="B305" s="6" t="s">
        <v>16</v>
      </c>
      <c r="C305" s="21">
        <v>4248</v>
      </c>
      <c r="D305" s="19">
        <v>41774</v>
      </c>
      <c r="E305" s="6" t="s">
        <v>111</v>
      </c>
      <c r="F305" s="6" t="s">
        <v>50</v>
      </c>
      <c r="G305" s="6" t="s">
        <v>41</v>
      </c>
      <c r="H305" s="6" t="s">
        <v>29</v>
      </c>
    </row>
    <row r="306" spans="1:8" x14ac:dyDescent="0.35">
      <c r="A306" s="6" t="s">
        <v>5</v>
      </c>
      <c r="B306" s="6" t="s">
        <v>16</v>
      </c>
      <c r="C306" s="21">
        <v>9543</v>
      </c>
      <c r="D306" s="19">
        <v>41775</v>
      </c>
      <c r="E306" s="6" t="s">
        <v>112</v>
      </c>
      <c r="F306" s="6" t="s">
        <v>31</v>
      </c>
      <c r="G306" s="6" t="s">
        <v>28</v>
      </c>
      <c r="H306" s="6" t="s">
        <v>29</v>
      </c>
    </row>
    <row r="307" spans="1:8" x14ac:dyDescent="0.35">
      <c r="A307" s="6" t="s">
        <v>4</v>
      </c>
      <c r="B307" s="6" t="s">
        <v>16</v>
      </c>
      <c r="C307" s="21">
        <v>2054</v>
      </c>
      <c r="D307" s="19">
        <v>41775</v>
      </c>
      <c r="E307" s="6" t="s">
        <v>113</v>
      </c>
      <c r="F307" s="6" t="s">
        <v>69</v>
      </c>
      <c r="G307" s="6" t="s">
        <v>41</v>
      </c>
      <c r="H307" s="6" t="s">
        <v>38</v>
      </c>
    </row>
    <row r="308" spans="1:8" x14ac:dyDescent="0.35">
      <c r="A308" s="6" t="s">
        <v>6</v>
      </c>
      <c r="B308" s="6" t="s">
        <v>16</v>
      </c>
      <c r="C308" s="21">
        <v>7094</v>
      </c>
      <c r="D308" s="19">
        <v>41775</v>
      </c>
      <c r="E308" s="6" t="s">
        <v>114</v>
      </c>
      <c r="F308" s="6" t="s">
        <v>40</v>
      </c>
      <c r="G308" s="6" t="s">
        <v>41</v>
      </c>
      <c r="H308" s="6" t="s">
        <v>46</v>
      </c>
    </row>
    <row r="309" spans="1:8" x14ac:dyDescent="0.35">
      <c r="A309" s="6" t="s">
        <v>7</v>
      </c>
      <c r="B309" s="6" t="s">
        <v>16</v>
      </c>
      <c r="C309" s="21">
        <v>6087</v>
      </c>
      <c r="D309" s="19">
        <v>41777</v>
      </c>
      <c r="E309" s="6" t="s">
        <v>64</v>
      </c>
      <c r="F309" s="6" t="s">
        <v>57</v>
      </c>
      <c r="G309" s="6" t="s">
        <v>41</v>
      </c>
      <c r="H309" s="6" t="s">
        <v>46</v>
      </c>
    </row>
    <row r="310" spans="1:8" x14ac:dyDescent="0.35">
      <c r="A310" s="6" t="s">
        <v>10</v>
      </c>
      <c r="B310" s="6" t="s">
        <v>16</v>
      </c>
      <c r="C310" s="21">
        <v>4264</v>
      </c>
      <c r="D310" s="19">
        <v>41778</v>
      </c>
      <c r="E310" s="6" t="s">
        <v>115</v>
      </c>
      <c r="F310" s="6" t="s">
        <v>69</v>
      </c>
      <c r="G310" s="6" t="s">
        <v>41</v>
      </c>
      <c r="H310" s="6" t="s">
        <v>46</v>
      </c>
    </row>
    <row r="311" spans="1:8" x14ac:dyDescent="0.35">
      <c r="A311" s="6" t="s">
        <v>8</v>
      </c>
      <c r="B311" s="6" t="s">
        <v>15</v>
      </c>
      <c r="C311" s="21">
        <v>9333</v>
      </c>
      <c r="D311" s="19">
        <v>41779</v>
      </c>
      <c r="E311" s="6" t="s">
        <v>49</v>
      </c>
      <c r="F311" s="6" t="s">
        <v>50</v>
      </c>
      <c r="G311" s="6" t="s">
        <v>41</v>
      </c>
      <c r="H311" s="6" t="s">
        <v>34</v>
      </c>
    </row>
    <row r="312" spans="1:8" x14ac:dyDescent="0.35">
      <c r="A312" s="6" t="s">
        <v>8</v>
      </c>
      <c r="B312" s="6" t="s">
        <v>18</v>
      </c>
      <c r="C312" s="21">
        <v>8775</v>
      </c>
      <c r="D312" s="19">
        <v>41781</v>
      </c>
      <c r="E312" s="6" t="s">
        <v>116</v>
      </c>
      <c r="F312" s="6" t="s">
        <v>57</v>
      </c>
      <c r="G312" s="6" t="s">
        <v>41</v>
      </c>
      <c r="H312" s="6" t="s">
        <v>29</v>
      </c>
    </row>
    <row r="313" spans="1:8" x14ac:dyDescent="0.35">
      <c r="A313" s="6" t="s">
        <v>4</v>
      </c>
      <c r="B313" s="6" t="s">
        <v>16</v>
      </c>
      <c r="C313" s="21">
        <v>2011</v>
      </c>
      <c r="D313" s="19">
        <v>41782</v>
      </c>
      <c r="E313" s="6" t="s">
        <v>51</v>
      </c>
      <c r="F313" s="6" t="s">
        <v>52</v>
      </c>
      <c r="G313" s="6" t="s">
        <v>53</v>
      </c>
      <c r="H313" s="6" t="s">
        <v>34</v>
      </c>
    </row>
    <row r="314" spans="1:8" x14ac:dyDescent="0.35">
      <c r="A314" s="6" t="s">
        <v>5</v>
      </c>
      <c r="B314" s="6" t="s">
        <v>18</v>
      </c>
      <c r="C314" s="21">
        <v>5632</v>
      </c>
      <c r="D314" s="19">
        <v>41784</v>
      </c>
      <c r="E314" s="6" t="s">
        <v>117</v>
      </c>
      <c r="F314" s="6" t="s">
        <v>57</v>
      </c>
      <c r="G314" s="6" t="s">
        <v>41</v>
      </c>
      <c r="H314" s="6" t="s">
        <v>34</v>
      </c>
    </row>
    <row r="315" spans="1:8" x14ac:dyDescent="0.35">
      <c r="A315" s="6" t="s">
        <v>6</v>
      </c>
      <c r="B315" s="6" t="s">
        <v>18</v>
      </c>
      <c r="C315" s="21">
        <v>1002</v>
      </c>
      <c r="D315" s="19">
        <v>41784</v>
      </c>
      <c r="E315" s="6" t="s">
        <v>65</v>
      </c>
      <c r="F315" s="6" t="s">
        <v>66</v>
      </c>
      <c r="G315" s="6" t="s">
        <v>28</v>
      </c>
      <c r="H315" s="6" t="s">
        <v>29</v>
      </c>
    </row>
    <row r="316" spans="1:8" x14ac:dyDescent="0.35">
      <c r="A316" s="6" t="s">
        <v>9</v>
      </c>
      <c r="B316" s="6" t="s">
        <v>18</v>
      </c>
      <c r="C316" s="21">
        <v>8141</v>
      </c>
      <c r="D316" s="19">
        <v>41785</v>
      </c>
      <c r="E316" s="6" t="s">
        <v>118</v>
      </c>
      <c r="F316" s="6" t="s">
        <v>57</v>
      </c>
      <c r="G316" s="6" t="s">
        <v>41</v>
      </c>
      <c r="H316" s="6" t="s">
        <v>38</v>
      </c>
    </row>
    <row r="317" spans="1:8" x14ac:dyDescent="0.35">
      <c r="A317" s="6" t="s">
        <v>9</v>
      </c>
      <c r="B317" s="6" t="s">
        <v>18</v>
      </c>
      <c r="C317" s="21">
        <v>3644</v>
      </c>
      <c r="D317" s="19">
        <v>41785</v>
      </c>
      <c r="E317" s="6" t="s">
        <v>74</v>
      </c>
      <c r="F317" s="6" t="s">
        <v>36</v>
      </c>
      <c r="G317" s="6" t="s">
        <v>37</v>
      </c>
      <c r="H317" s="6" t="s">
        <v>46</v>
      </c>
    </row>
    <row r="318" spans="1:8" x14ac:dyDescent="0.35">
      <c r="A318" s="6" t="s">
        <v>9</v>
      </c>
      <c r="B318" s="6" t="s">
        <v>18</v>
      </c>
      <c r="C318" s="21">
        <v>1380</v>
      </c>
      <c r="D318" s="19">
        <v>41785</v>
      </c>
      <c r="E318" s="6" t="s">
        <v>119</v>
      </c>
      <c r="F318" s="6" t="s">
        <v>120</v>
      </c>
      <c r="G318" s="6" t="s">
        <v>41</v>
      </c>
      <c r="H318" s="6" t="s">
        <v>29</v>
      </c>
    </row>
    <row r="319" spans="1:8" x14ac:dyDescent="0.35">
      <c r="A319" s="6" t="s">
        <v>4</v>
      </c>
      <c r="B319" s="6" t="s">
        <v>16</v>
      </c>
      <c r="C319" s="21">
        <v>8354</v>
      </c>
      <c r="D319" s="19">
        <v>41785</v>
      </c>
      <c r="E319" s="6" t="s">
        <v>87</v>
      </c>
      <c r="F319" s="6" t="s">
        <v>52</v>
      </c>
      <c r="G319" s="6" t="s">
        <v>53</v>
      </c>
      <c r="H319" s="6" t="s">
        <v>42</v>
      </c>
    </row>
    <row r="320" spans="1:8" x14ac:dyDescent="0.35">
      <c r="A320" s="6" t="s">
        <v>5</v>
      </c>
      <c r="B320" s="6" t="s">
        <v>16</v>
      </c>
      <c r="C320" s="21">
        <v>5182</v>
      </c>
      <c r="D320" s="19">
        <v>41786</v>
      </c>
      <c r="E320" s="6" t="s">
        <v>121</v>
      </c>
      <c r="F320" s="6" t="s">
        <v>122</v>
      </c>
      <c r="G320" s="6" t="s">
        <v>37</v>
      </c>
      <c r="H320" s="6" t="s">
        <v>34</v>
      </c>
    </row>
    <row r="321" spans="1:8" x14ac:dyDescent="0.35">
      <c r="A321" s="6" t="s">
        <v>10</v>
      </c>
      <c r="B321" s="6" t="s">
        <v>16</v>
      </c>
      <c r="C321" s="21">
        <v>2193</v>
      </c>
      <c r="D321" s="19">
        <v>41786</v>
      </c>
      <c r="E321" s="6" t="s">
        <v>123</v>
      </c>
      <c r="F321" s="6" t="s">
        <v>84</v>
      </c>
      <c r="G321" s="6" t="s">
        <v>28</v>
      </c>
      <c r="H321" s="6" t="s">
        <v>29</v>
      </c>
    </row>
    <row r="322" spans="1:8" x14ac:dyDescent="0.35">
      <c r="A322" s="6" t="s">
        <v>8</v>
      </c>
      <c r="B322" s="6" t="s">
        <v>16</v>
      </c>
      <c r="C322" s="21">
        <v>3647</v>
      </c>
      <c r="D322" s="19">
        <v>41787</v>
      </c>
      <c r="E322" s="6" t="s">
        <v>124</v>
      </c>
      <c r="F322" s="6" t="s">
        <v>62</v>
      </c>
      <c r="G322" s="6" t="s">
        <v>63</v>
      </c>
      <c r="H322" s="6" t="s">
        <v>42</v>
      </c>
    </row>
    <row r="323" spans="1:8" x14ac:dyDescent="0.35">
      <c r="A323" s="6" t="s">
        <v>10</v>
      </c>
      <c r="B323" s="6" t="s">
        <v>16</v>
      </c>
      <c r="C323" s="21">
        <v>4104</v>
      </c>
      <c r="D323" s="19">
        <v>41787</v>
      </c>
      <c r="E323" s="6" t="s">
        <v>125</v>
      </c>
      <c r="F323" s="6" t="s">
        <v>44</v>
      </c>
      <c r="G323" s="6" t="s">
        <v>45</v>
      </c>
      <c r="H323" s="6" t="s">
        <v>42</v>
      </c>
    </row>
    <row r="324" spans="1:8" x14ac:dyDescent="0.35">
      <c r="A324" s="6" t="s">
        <v>7</v>
      </c>
      <c r="B324" s="6" t="s">
        <v>18</v>
      </c>
      <c r="C324" s="21">
        <v>7457</v>
      </c>
      <c r="D324" s="19">
        <v>41787</v>
      </c>
      <c r="E324" s="6" t="s">
        <v>126</v>
      </c>
      <c r="F324" s="6" t="s">
        <v>31</v>
      </c>
      <c r="G324" s="6" t="s">
        <v>28</v>
      </c>
      <c r="H324" s="6" t="s">
        <v>29</v>
      </c>
    </row>
    <row r="325" spans="1:8" x14ac:dyDescent="0.35">
      <c r="A325" s="6" t="s">
        <v>8</v>
      </c>
      <c r="B325" s="6" t="s">
        <v>18</v>
      </c>
      <c r="C325" s="21">
        <v>3767</v>
      </c>
      <c r="D325" s="19">
        <v>41788</v>
      </c>
      <c r="E325" s="6" t="s">
        <v>115</v>
      </c>
      <c r="F325" s="6" t="s">
        <v>69</v>
      </c>
      <c r="G325" s="6" t="s">
        <v>41</v>
      </c>
      <c r="H325" s="6" t="s">
        <v>29</v>
      </c>
    </row>
    <row r="326" spans="1:8" x14ac:dyDescent="0.35">
      <c r="A326" s="6" t="s">
        <v>4</v>
      </c>
      <c r="B326" s="6" t="s">
        <v>18</v>
      </c>
      <c r="C326" s="21">
        <v>4685</v>
      </c>
      <c r="D326" s="19">
        <v>41789</v>
      </c>
      <c r="E326" s="6" t="s">
        <v>95</v>
      </c>
      <c r="F326" s="6" t="s">
        <v>36</v>
      </c>
      <c r="G326" s="6" t="s">
        <v>37</v>
      </c>
      <c r="H326" s="6" t="s">
        <v>38</v>
      </c>
    </row>
    <row r="327" spans="1:8" x14ac:dyDescent="0.35">
      <c r="A327" s="6" t="s">
        <v>5</v>
      </c>
      <c r="B327" s="6" t="s">
        <v>16</v>
      </c>
      <c r="C327" s="21">
        <v>3917</v>
      </c>
      <c r="D327" s="19">
        <v>41794</v>
      </c>
      <c r="E327" s="6" t="s">
        <v>127</v>
      </c>
      <c r="F327" s="6" t="s">
        <v>128</v>
      </c>
      <c r="G327" s="6" t="s">
        <v>28</v>
      </c>
      <c r="H327" s="6" t="s">
        <v>46</v>
      </c>
    </row>
    <row r="328" spans="1:8" x14ac:dyDescent="0.35">
      <c r="A328" s="6" t="s">
        <v>10</v>
      </c>
      <c r="B328" s="6" t="s">
        <v>18</v>
      </c>
      <c r="C328" s="21">
        <v>521</v>
      </c>
      <c r="D328" s="19">
        <v>41794</v>
      </c>
      <c r="E328" s="6" t="s">
        <v>129</v>
      </c>
      <c r="F328" s="6" t="s">
        <v>44</v>
      </c>
      <c r="G328" s="6" t="s">
        <v>45</v>
      </c>
      <c r="H328" s="6" t="s">
        <v>46</v>
      </c>
    </row>
    <row r="329" spans="1:8" x14ac:dyDescent="0.35">
      <c r="A329" s="6" t="s">
        <v>10</v>
      </c>
      <c r="B329" s="6" t="s">
        <v>18</v>
      </c>
      <c r="C329" s="21">
        <v>5605</v>
      </c>
      <c r="D329" s="19">
        <v>41800</v>
      </c>
      <c r="E329" s="6" t="s">
        <v>130</v>
      </c>
      <c r="F329" s="6" t="s">
        <v>69</v>
      </c>
      <c r="G329" s="6" t="s">
        <v>41</v>
      </c>
      <c r="H329" s="6" t="s">
        <v>46</v>
      </c>
    </row>
    <row r="330" spans="1:8" x14ac:dyDescent="0.35">
      <c r="A330" s="6" t="s">
        <v>4</v>
      </c>
      <c r="B330" s="6" t="s">
        <v>18</v>
      </c>
      <c r="C330" s="21">
        <v>9630</v>
      </c>
      <c r="D330" s="19">
        <v>41801</v>
      </c>
      <c r="E330" s="6" t="s">
        <v>131</v>
      </c>
      <c r="F330" s="6" t="s">
        <v>50</v>
      </c>
      <c r="G330" s="6" t="s">
        <v>41</v>
      </c>
      <c r="H330" s="6" t="s">
        <v>34</v>
      </c>
    </row>
    <row r="331" spans="1:8" x14ac:dyDescent="0.35">
      <c r="A331" s="6" t="s">
        <v>5</v>
      </c>
      <c r="B331" s="6" t="s">
        <v>18</v>
      </c>
      <c r="C331" s="21">
        <v>6941</v>
      </c>
      <c r="D331" s="19">
        <v>41810</v>
      </c>
      <c r="E331" s="6" t="s">
        <v>88</v>
      </c>
      <c r="F331" s="6" t="s">
        <v>48</v>
      </c>
      <c r="G331" s="6" t="s">
        <v>37</v>
      </c>
      <c r="H331" s="6" t="s">
        <v>29</v>
      </c>
    </row>
    <row r="332" spans="1:8" x14ac:dyDescent="0.35">
      <c r="A332" s="6" t="s">
        <v>4</v>
      </c>
      <c r="B332" s="6" t="s">
        <v>15</v>
      </c>
      <c r="C332" s="21">
        <v>7231</v>
      </c>
      <c r="D332" s="19">
        <v>41810</v>
      </c>
      <c r="E332" s="6" t="s">
        <v>132</v>
      </c>
      <c r="F332" s="6" t="s">
        <v>50</v>
      </c>
      <c r="G332" s="6" t="s">
        <v>41</v>
      </c>
      <c r="H332" s="6" t="s">
        <v>34</v>
      </c>
    </row>
    <row r="333" spans="1:8" x14ac:dyDescent="0.35">
      <c r="A333" s="6" t="s">
        <v>4</v>
      </c>
      <c r="B333" s="6" t="s">
        <v>18</v>
      </c>
      <c r="C333" s="21">
        <v>8891</v>
      </c>
      <c r="D333" s="19">
        <v>41813</v>
      </c>
      <c r="E333" s="6" t="s">
        <v>133</v>
      </c>
      <c r="F333" s="6" t="s">
        <v>134</v>
      </c>
      <c r="G333" s="6" t="s">
        <v>63</v>
      </c>
      <c r="H333" s="6" t="s">
        <v>34</v>
      </c>
    </row>
    <row r="334" spans="1:8" x14ac:dyDescent="0.35">
      <c r="A334" s="6" t="s">
        <v>5</v>
      </c>
      <c r="B334" s="6" t="s">
        <v>16</v>
      </c>
      <c r="C334" s="21">
        <v>107</v>
      </c>
      <c r="D334" s="19">
        <v>41815</v>
      </c>
      <c r="E334" s="6" t="s">
        <v>104</v>
      </c>
      <c r="F334" s="6" t="s">
        <v>57</v>
      </c>
      <c r="G334" s="6" t="s">
        <v>41</v>
      </c>
      <c r="H334" s="6" t="s">
        <v>29</v>
      </c>
    </row>
    <row r="335" spans="1:8" x14ac:dyDescent="0.35">
      <c r="A335" s="6" t="s">
        <v>5</v>
      </c>
      <c r="B335" s="6" t="s">
        <v>16</v>
      </c>
      <c r="C335" s="21">
        <v>4243</v>
      </c>
      <c r="D335" s="19">
        <v>41816</v>
      </c>
      <c r="E335" s="6" t="s">
        <v>135</v>
      </c>
      <c r="F335" s="6" t="s">
        <v>50</v>
      </c>
      <c r="G335" s="6" t="s">
        <v>41</v>
      </c>
      <c r="H335" s="6" t="s">
        <v>38</v>
      </c>
    </row>
    <row r="336" spans="1:8" x14ac:dyDescent="0.35">
      <c r="A336" s="6" t="s">
        <v>9</v>
      </c>
      <c r="B336" s="6" t="s">
        <v>18</v>
      </c>
      <c r="C336" s="21">
        <v>4514</v>
      </c>
      <c r="D336" s="19">
        <v>41817</v>
      </c>
      <c r="E336" s="6" t="s">
        <v>136</v>
      </c>
      <c r="F336" s="6" t="s">
        <v>36</v>
      </c>
      <c r="G336" s="6" t="s">
        <v>37</v>
      </c>
      <c r="H336" s="6" t="s">
        <v>46</v>
      </c>
    </row>
    <row r="337" spans="1:8" x14ac:dyDescent="0.35">
      <c r="A337" s="6" t="s">
        <v>8</v>
      </c>
      <c r="B337" s="6" t="s">
        <v>16</v>
      </c>
      <c r="C337" s="21">
        <v>5480</v>
      </c>
      <c r="D337" s="19">
        <v>41822</v>
      </c>
      <c r="E337" s="6" t="s">
        <v>61</v>
      </c>
      <c r="F337" s="6" t="s">
        <v>62</v>
      </c>
      <c r="G337" s="6" t="s">
        <v>63</v>
      </c>
      <c r="H337" s="6" t="s">
        <v>29</v>
      </c>
    </row>
    <row r="338" spans="1:8" x14ac:dyDescent="0.35">
      <c r="A338" s="6" t="s">
        <v>5</v>
      </c>
      <c r="B338" s="6" t="s">
        <v>18</v>
      </c>
      <c r="C338" s="21">
        <v>5002</v>
      </c>
      <c r="D338" s="19">
        <v>41822</v>
      </c>
      <c r="E338" s="6" t="s">
        <v>30</v>
      </c>
      <c r="F338" s="6" t="s">
        <v>31</v>
      </c>
      <c r="G338" s="6" t="s">
        <v>28</v>
      </c>
      <c r="H338" s="6" t="s">
        <v>42</v>
      </c>
    </row>
    <row r="339" spans="1:8" x14ac:dyDescent="0.35">
      <c r="A339" s="6" t="s">
        <v>5</v>
      </c>
      <c r="B339" s="6" t="s">
        <v>16</v>
      </c>
      <c r="C339" s="21">
        <v>8530</v>
      </c>
      <c r="D339" s="19">
        <v>41825</v>
      </c>
      <c r="E339" s="6" t="s">
        <v>98</v>
      </c>
      <c r="F339" s="6" t="s">
        <v>99</v>
      </c>
      <c r="G339" s="6" t="s">
        <v>28</v>
      </c>
      <c r="H339" s="6" t="s">
        <v>34</v>
      </c>
    </row>
    <row r="340" spans="1:8" x14ac:dyDescent="0.35">
      <c r="A340" s="6" t="s">
        <v>4</v>
      </c>
      <c r="B340" s="6" t="s">
        <v>16</v>
      </c>
      <c r="C340" s="21">
        <v>6343</v>
      </c>
      <c r="D340" s="19">
        <v>41831</v>
      </c>
      <c r="E340" s="6" t="s">
        <v>137</v>
      </c>
      <c r="F340" s="6" t="s">
        <v>50</v>
      </c>
      <c r="G340" s="6" t="s">
        <v>41</v>
      </c>
      <c r="H340" s="6" t="s">
        <v>29</v>
      </c>
    </row>
    <row r="341" spans="1:8" x14ac:dyDescent="0.35">
      <c r="A341" s="6" t="s">
        <v>9</v>
      </c>
      <c r="B341" s="6" t="s">
        <v>15</v>
      </c>
      <c r="C341" s="21">
        <v>2318</v>
      </c>
      <c r="D341" s="19">
        <v>41833</v>
      </c>
      <c r="E341" s="6" t="s">
        <v>138</v>
      </c>
      <c r="F341" s="6" t="s">
        <v>50</v>
      </c>
      <c r="G341" s="6" t="s">
        <v>41</v>
      </c>
      <c r="H341" s="6" t="s">
        <v>42</v>
      </c>
    </row>
    <row r="342" spans="1:8" x14ac:dyDescent="0.35">
      <c r="A342" s="6" t="s">
        <v>9</v>
      </c>
      <c r="B342" s="6" t="s">
        <v>16</v>
      </c>
      <c r="C342" s="21">
        <v>220</v>
      </c>
      <c r="D342" s="19">
        <v>41840</v>
      </c>
      <c r="E342" s="6" t="s">
        <v>139</v>
      </c>
      <c r="F342" s="6" t="s">
        <v>48</v>
      </c>
      <c r="G342" s="6" t="s">
        <v>37</v>
      </c>
      <c r="H342" s="6" t="s">
        <v>42</v>
      </c>
    </row>
    <row r="343" spans="1:8" x14ac:dyDescent="0.35">
      <c r="A343" s="6" t="s">
        <v>10</v>
      </c>
      <c r="B343" s="6" t="s">
        <v>16</v>
      </c>
      <c r="C343" s="21">
        <v>330</v>
      </c>
      <c r="D343" s="19">
        <v>41840</v>
      </c>
      <c r="E343" s="6" t="s">
        <v>140</v>
      </c>
      <c r="F343" s="6" t="s">
        <v>50</v>
      </c>
      <c r="G343" s="6" t="s">
        <v>41</v>
      </c>
      <c r="H343" s="6" t="s">
        <v>29</v>
      </c>
    </row>
    <row r="344" spans="1:8" x14ac:dyDescent="0.35">
      <c r="A344" s="6" t="s">
        <v>4</v>
      </c>
      <c r="B344" s="6" t="s">
        <v>16</v>
      </c>
      <c r="C344" s="21">
        <v>3027</v>
      </c>
      <c r="D344" s="19">
        <v>41840</v>
      </c>
      <c r="E344" s="6" t="s">
        <v>141</v>
      </c>
      <c r="F344" s="6" t="s">
        <v>44</v>
      </c>
      <c r="G344" s="6" t="s">
        <v>45</v>
      </c>
      <c r="H344" s="6" t="s">
        <v>29</v>
      </c>
    </row>
    <row r="345" spans="1:8" x14ac:dyDescent="0.35">
      <c r="A345" s="6" t="s">
        <v>5</v>
      </c>
      <c r="B345" s="6" t="s">
        <v>16</v>
      </c>
      <c r="C345" s="21">
        <v>8986</v>
      </c>
      <c r="D345" s="19">
        <v>41843</v>
      </c>
      <c r="E345" s="6" t="s">
        <v>142</v>
      </c>
      <c r="F345" s="6" t="s">
        <v>50</v>
      </c>
      <c r="G345" s="6" t="s">
        <v>41</v>
      </c>
      <c r="H345" s="6" t="s">
        <v>38</v>
      </c>
    </row>
    <row r="346" spans="1:8" x14ac:dyDescent="0.35">
      <c r="A346" s="6" t="s">
        <v>10</v>
      </c>
      <c r="B346" s="6" t="s">
        <v>18</v>
      </c>
      <c r="C346" s="21">
        <v>7671</v>
      </c>
      <c r="D346" s="19">
        <v>41767</v>
      </c>
      <c r="E346" s="6" t="s">
        <v>109</v>
      </c>
      <c r="F346" s="6" t="s">
        <v>50</v>
      </c>
      <c r="G346" s="6" t="s">
        <v>41</v>
      </c>
      <c r="H346" s="6" t="s">
        <v>42</v>
      </c>
    </row>
    <row r="347" spans="1:8" x14ac:dyDescent="0.35">
      <c r="A347" s="6" t="s">
        <v>7</v>
      </c>
      <c r="B347" s="6" t="s">
        <v>19</v>
      </c>
      <c r="C347" s="21">
        <v>5791</v>
      </c>
      <c r="D347" s="19">
        <v>41767</v>
      </c>
      <c r="E347" s="6" t="s">
        <v>43</v>
      </c>
      <c r="F347" s="6" t="s">
        <v>44</v>
      </c>
      <c r="G347" s="6" t="s">
        <v>45</v>
      </c>
      <c r="H347" s="6" t="s">
        <v>34</v>
      </c>
    </row>
    <row r="348" spans="1:8" x14ac:dyDescent="0.35">
      <c r="A348" s="6" t="s">
        <v>5</v>
      </c>
      <c r="B348" s="6" t="s">
        <v>18</v>
      </c>
      <c r="C348" s="21">
        <v>6007</v>
      </c>
      <c r="D348" s="19">
        <v>41771</v>
      </c>
      <c r="E348" s="6" t="s">
        <v>110</v>
      </c>
      <c r="F348" s="6" t="s">
        <v>50</v>
      </c>
      <c r="G348" s="6" t="s">
        <v>41</v>
      </c>
      <c r="H348" s="6" t="s">
        <v>29</v>
      </c>
    </row>
    <row r="349" spans="1:8" x14ac:dyDescent="0.35">
      <c r="A349" s="6" t="s">
        <v>5</v>
      </c>
      <c r="B349" s="6" t="s">
        <v>18</v>
      </c>
      <c r="C349" s="21">
        <v>5030</v>
      </c>
      <c r="D349" s="19">
        <v>41773</v>
      </c>
      <c r="E349" s="6" t="s">
        <v>58</v>
      </c>
      <c r="F349" s="6" t="s">
        <v>57</v>
      </c>
      <c r="G349" s="6" t="s">
        <v>41</v>
      </c>
      <c r="H349" s="6" t="s">
        <v>42</v>
      </c>
    </row>
    <row r="350" spans="1:8" x14ac:dyDescent="0.35">
      <c r="A350" s="6" t="s">
        <v>7</v>
      </c>
      <c r="B350" s="6" t="s">
        <v>15</v>
      </c>
      <c r="C350" s="21">
        <v>6763</v>
      </c>
      <c r="D350" s="19">
        <v>41773</v>
      </c>
      <c r="E350" s="6" t="s">
        <v>54</v>
      </c>
      <c r="F350" s="6" t="s">
        <v>50</v>
      </c>
      <c r="G350" s="6" t="s">
        <v>41</v>
      </c>
      <c r="H350" s="6" t="s">
        <v>42</v>
      </c>
    </row>
    <row r="351" spans="1:8" x14ac:dyDescent="0.35">
      <c r="A351" s="6" t="s">
        <v>5</v>
      </c>
      <c r="B351" s="6" t="s">
        <v>16</v>
      </c>
      <c r="C351" s="21">
        <v>4248</v>
      </c>
      <c r="D351" s="19">
        <v>41774</v>
      </c>
      <c r="E351" s="6" t="s">
        <v>111</v>
      </c>
      <c r="F351" s="6" t="s">
        <v>50</v>
      </c>
      <c r="G351" s="6" t="s">
        <v>41</v>
      </c>
      <c r="H351" s="6" t="s">
        <v>29</v>
      </c>
    </row>
    <row r="352" spans="1:8" x14ac:dyDescent="0.35">
      <c r="A352" s="6" t="s">
        <v>5</v>
      </c>
      <c r="B352" s="6" t="s">
        <v>16</v>
      </c>
      <c r="C352" s="21">
        <v>9543</v>
      </c>
      <c r="D352" s="19">
        <v>41775</v>
      </c>
      <c r="E352" s="6" t="s">
        <v>112</v>
      </c>
      <c r="F352" s="6" t="s">
        <v>31</v>
      </c>
      <c r="G352" s="6" t="s">
        <v>28</v>
      </c>
      <c r="H352" s="6" t="s">
        <v>29</v>
      </c>
    </row>
    <row r="353" spans="1:8" x14ac:dyDescent="0.35">
      <c r="A353" s="6" t="s">
        <v>4</v>
      </c>
      <c r="B353" s="6" t="s">
        <v>16</v>
      </c>
      <c r="C353" s="21">
        <v>2054</v>
      </c>
      <c r="D353" s="19">
        <v>41775</v>
      </c>
      <c r="E353" s="6" t="s">
        <v>113</v>
      </c>
      <c r="F353" s="6" t="s">
        <v>69</v>
      </c>
      <c r="G353" s="6" t="s">
        <v>41</v>
      </c>
      <c r="H353" s="6" t="s">
        <v>38</v>
      </c>
    </row>
    <row r="354" spans="1:8" x14ac:dyDescent="0.35">
      <c r="A354" s="6" t="s">
        <v>6</v>
      </c>
      <c r="B354" s="6" t="s">
        <v>16</v>
      </c>
      <c r="C354" s="21">
        <v>7094</v>
      </c>
      <c r="D354" s="19">
        <v>41775</v>
      </c>
      <c r="E354" s="6" t="s">
        <v>114</v>
      </c>
      <c r="F354" s="6" t="s">
        <v>40</v>
      </c>
      <c r="G354" s="6" t="s">
        <v>41</v>
      </c>
      <c r="H354" s="6" t="s">
        <v>46</v>
      </c>
    </row>
    <row r="355" spans="1:8" x14ac:dyDescent="0.35">
      <c r="A355" s="6" t="s">
        <v>7</v>
      </c>
      <c r="B355" s="6" t="s">
        <v>16</v>
      </c>
      <c r="C355" s="21">
        <v>6087</v>
      </c>
      <c r="D355" s="19">
        <v>41777</v>
      </c>
      <c r="E355" s="6" t="s">
        <v>64</v>
      </c>
      <c r="F355" s="6" t="s">
        <v>57</v>
      </c>
      <c r="G355" s="6" t="s">
        <v>41</v>
      </c>
      <c r="H355" s="6" t="s">
        <v>46</v>
      </c>
    </row>
    <row r="356" spans="1:8" x14ac:dyDescent="0.35">
      <c r="A356" s="6" t="s">
        <v>10</v>
      </c>
      <c r="B356" s="6" t="s">
        <v>16</v>
      </c>
      <c r="C356" s="21">
        <v>4264</v>
      </c>
      <c r="D356" s="19">
        <v>41778</v>
      </c>
      <c r="E356" s="6" t="s">
        <v>115</v>
      </c>
      <c r="F356" s="6" t="s">
        <v>69</v>
      </c>
      <c r="G356" s="6" t="s">
        <v>41</v>
      </c>
      <c r="H356" s="6" t="s">
        <v>46</v>
      </c>
    </row>
    <row r="357" spans="1:8" x14ac:dyDescent="0.35">
      <c r="A357" s="6" t="s">
        <v>8</v>
      </c>
      <c r="B357" s="6" t="s">
        <v>15</v>
      </c>
      <c r="C357" s="21">
        <v>9333</v>
      </c>
      <c r="D357" s="19">
        <v>41779</v>
      </c>
      <c r="E357" s="6" t="s">
        <v>49</v>
      </c>
      <c r="F357" s="6" t="s">
        <v>50</v>
      </c>
      <c r="G357" s="6" t="s">
        <v>41</v>
      </c>
      <c r="H357" s="6" t="s">
        <v>34</v>
      </c>
    </row>
    <row r="358" spans="1:8" x14ac:dyDescent="0.35">
      <c r="A358" s="6" t="s">
        <v>8</v>
      </c>
      <c r="B358" s="6" t="s">
        <v>18</v>
      </c>
      <c r="C358" s="21">
        <v>8775</v>
      </c>
      <c r="D358" s="19">
        <v>41781</v>
      </c>
      <c r="E358" s="6" t="s">
        <v>116</v>
      </c>
      <c r="F358" s="6" t="s">
        <v>57</v>
      </c>
      <c r="G358" s="6" t="s">
        <v>41</v>
      </c>
      <c r="H358" s="6" t="s">
        <v>29</v>
      </c>
    </row>
    <row r="359" spans="1:8" x14ac:dyDescent="0.35">
      <c r="A359" s="6" t="s">
        <v>4</v>
      </c>
      <c r="B359" s="6" t="s">
        <v>16</v>
      </c>
      <c r="C359" s="21">
        <v>2011</v>
      </c>
      <c r="D359" s="19">
        <v>41782</v>
      </c>
      <c r="E359" s="6" t="s">
        <v>51</v>
      </c>
      <c r="F359" s="6" t="s">
        <v>52</v>
      </c>
      <c r="G359" s="6" t="s">
        <v>53</v>
      </c>
      <c r="H359" s="6" t="s">
        <v>34</v>
      </c>
    </row>
    <row r="360" spans="1:8" x14ac:dyDescent="0.35">
      <c r="A360" s="6" t="s">
        <v>5</v>
      </c>
      <c r="B360" s="6" t="s">
        <v>18</v>
      </c>
      <c r="C360" s="21">
        <v>5632</v>
      </c>
      <c r="D360" s="19">
        <v>41784</v>
      </c>
      <c r="E360" s="6" t="s">
        <v>117</v>
      </c>
      <c r="F360" s="6" t="s">
        <v>57</v>
      </c>
      <c r="G360" s="6" t="s">
        <v>41</v>
      </c>
      <c r="H360" s="6" t="s">
        <v>34</v>
      </c>
    </row>
    <row r="361" spans="1:8" x14ac:dyDescent="0.35">
      <c r="A361" s="6" t="s">
        <v>6</v>
      </c>
      <c r="B361" s="6" t="s">
        <v>18</v>
      </c>
      <c r="C361" s="21">
        <v>1002</v>
      </c>
      <c r="D361" s="19">
        <v>41784</v>
      </c>
      <c r="E361" s="6" t="s">
        <v>65</v>
      </c>
      <c r="F361" s="6" t="s">
        <v>66</v>
      </c>
      <c r="G361" s="6" t="s">
        <v>28</v>
      </c>
      <c r="H361" s="6" t="s">
        <v>29</v>
      </c>
    </row>
    <row r="362" spans="1:8" x14ac:dyDescent="0.35">
      <c r="A362" s="6" t="s">
        <v>9</v>
      </c>
      <c r="B362" s="6" t="s">
        <v>18</v>
      </c>
      <c r="C362" s="21">
        <v>8141</v>
      </c>
      <c r="D362" s="19">
        <v>41785</v>
      </c>
      <c r="E362" s="6" t="s">
        <v>118</v>
      </c>
      <c r="F362" s="6" t="s">
        <v>57</v>
      </c>
      <c r="G362" s="6" t="s">
        <v>41</v>
      </c>
      <c r="H362" s="6" t="s">
        <v>38</v>
      </c>
    </row>
    <row r="363" spans="1:8" x14ac:dyDescent="0.35">
      <c r="A363" s="6" t="s">
        <v>9</v>
      </c>
      <c r="B363" s="6" t="s">
        <v>18</v>
      </c>
      <c r="C363" s="21">
        <v>3644</v>
      </c>
      <c r="D363" s="19">
        <v>41785</v>
      </c>
      <c r="E363" s="6" t="s">
        <v>74</v>
      </c>
      <c r="F363" s="6" t="s">
        <v>36</v>
      </c>
      <c r="G363" s="6" t="s">
        <v>37</v>
      </c>
      <c r="H363" s="6" t="s">
        <v>46</v>
      </c>
    </row>
    <row r="364" spans="1:8" x14ac:dyDescent="0.35">
      <c r="A364" s="6" t="s">
        <v>9</v>
      </c>
      <c r="B364" s="6" t="s">
        <v>18</v>
      </c>
      <c r="C364" s="21">
        <v>1380</v>
      </c>
      <c r="D364" s="19">
        <v>41785</v>
      </c>
      <c r="E364" s="6" t="s">
        <v>119</v>
      </c>
      <c r="F364" s="6" t="s">
        <v>120</v>
      </c>
      <c r="G364" s="6" t="s">
        <v>41</v>
      </c>
      <c r="H364" s="6" t="s">
        <v>29</v>
      </c>
    </row>
    <row r="365" spans="1:8" x14ac:dyDescent="0.35">
      <c r="A365" s="6" t="s">
        <v>4</v>
      </c>
      <c r="B365" s="6" t="s">
        <v>16</v>
      </c>
      <c r="C365" s="21">
        <v>8354</v>
      </c>
      <c r="D365" s="19">
        <v>41785</v>
      </c>
      <c r="E365" s="6" t="s">
        <v>87</v>
      </c>
      <c r="F365" s="6" t="s">
        <v>52</v>
      </c>
      <c r="G365" s="6" t="s">
        <v>53</v>
      </c>
      <c r="H365" s="6" t="s">
        <v>42</v>
      </c>
    </row>
    <row r="366" spans="1:8" x14ac:dyDescent="0.35">
      <c r="A366" s="6" t="s">
        <v>5</v>
      </c>
      <c r="B366" s="6" t="s">
        <v>16</v>
      </c>
      <c r="C366" s="21">
        <v>5182</v>
      </c>
      <c r="D366" s="19">
        <v>41786</v>
      </c>
      <c r="E366" s="6" t="s">
        <v>121</v>
      </c>
      <c r="F366" s="6" t="s">
        <v>122</v>
      </c>
      <c r="G366" s="6" t="s">
        <v>37</v>
      </c>
      <c r="H366" s="6" t="s">
        <v>34</v>
      </c>
    </row>
    <row r="367" spans="1:8" x14ac:dyDescent="0.35">
      <c r="A367" s="6" t="s">
        <v>10</v>
      </c>
      <c r="B367" s="6" t="s">
        <v>16</v>
      </c>
      <c r="C367" s="21">
        <v>2193</v>
      </c>
      <c r="D367" s="19">
        <v>41786</v>
      </c>
      <c r="E367" s="6" t="s">
        <v>123</v>
      </c>
      <c r="F367" s="6" t="s">
        <v>84</v>
      </c>
      <c r="G367" s="6" t="s">
        <v>28</v>
      </c>
      <c r="H367" s="6" t="s">
        <v>29</v>
      </c>
    </row>
    <row r="368" spans="1:8" x14ac:dyDescent="0.35">
      <c r="A368" s="6" t="s">
        <v>8</v>
      </c>
      <c r="B368" s="6" t="s">
        <v>16</v>
      </c>
      <c r="C368" s="21">
        <v>3647</v>
      </c>
      <c r="D368" s="19">
        <v>41787</v>
      </c>
      <c r="E368" s="6" t="s">
        <v>124</v>
      </c>
      <c r="F368" s="6" t="s">
        <v>62</v>
      </c>
      <c r="G368" s="6" t="s">
        <v>63</v>
      </c>
      <c r="H368" s="6" t="s">
        <v>42</v>
      </c>
    </row>
    <row r="369" spans="1:8" x14ac:dyDescent="0.35">
      <c r="A369" s="6" t="s">
        <v>4</v>
      </c>
      <c r="B369" s="6" t="s">
        <v>18</v>
      </c>
      <c r="C369" s="21">
        <v>4685</v>
      </c>
      <c r="D369" s="19">
        <v>41789</v>
      </c>
      <c r="E369" s="6" t="s">
        <v>95</v>
      </c>
      <c r="F369" s="6" t="s">
        <v>36</v>
      </c>
      <c r="G369" s="6" t="s">
        <v>37</v>
      </c>
      <c r="H369" s="6" t="s">
        <v>38</v>
      </c>
    </row>
    <row r="370" spans="1:8" x14ac:dyDescent="0.35">
      <c r="A370" s="6" t="s">
        <v>5</v>
      </c>
      <c r="B370" s="6" t="s">
        <v>16</v>
      </c>
      <c r="C370" s="21">
        <v>3917</v>
      </c>
      <c r="D370" s="19">
        <v>41794</v>
      </c>
      <c r="E370" s="6" t="s">
        <v>127</v>
      </c>
      <c r="F370" s="6" t="s">
        <v>128</v>
      </c>
      <c r="G370" s="6" t="s">
        <v>28</v>
      </c>
      <c r="H370" s="6" t="s">
        <v>46</v>
      </c>
    </row>
    <row r="371" spans="1:8" x14ac:dyDescent="0.35">
      <c r="A371" s="6" t="s">
        <v>10</v>
      </c>
      <c r="B371" s="6" t="s">
        <v>18</v>
      </c>
      <c r="C371" s="21">
        <v>521</v>
      </c>
      <c r="D371" s="19">
        <v>41794</v>
      </c>
      <c r="E371" s="6" t="s">
        <v>129</v>
      </c>
      <c r="F371" s="6" t="s">
        <v>44</v>
      </c>
      <c r="G371" s="6" t="s">
        <v>45</v>
      </c>
      <c r="H371" s="6" t="s">
        <v>46</v>
      </c>
    </row>
    <row r="372" spans="1:8" x14ac:dyDescent="0.35">
      <c r="A372" s="6" t="s">
        <v>10</v>
      </c>
      <c r="B372" s="6" t="s">
        <v>18</v>
      </c>
      <c r="C372" s="21">
        <v>5605</v>
      </c>
      <c r="D372" s="19">
        <v>41800</v>
      </c>
      <c r="E372" s="6" t="s">
        <v>130</v>
      </c>
      <c r="F372" s="6" t="s">
        <v>69</v>
      </c>
      <c r="G372" s="6" t="s">
        <v>41</v>
      </c>
      <c r="H372" s="6" t="s">
        <v>46</v>
      </c>
    </row>
    <row r="373" spans="1:8" x14ac:dyDescent="0.35">
      <c r="A373" s="6" t="s">
        <v>4</v>
      </c>
      <c r="B373" s="6" t="s">
        <v>18</v>
      </c>
      <c r="C373" s="21">
        <v>9630</v>
      </c>
      <c r="D373" s="19">
        <v>41801</v>
      </c>
      <c r="E373" s="6" t="s">
        <v>131</v>
      </c>
      <c r="F373" s="6" t="s">
        <v>50</v>
      </c>
      <c r="G373" s="6" t="s">
        <v>41</v>
      </c>
      <c r="H373" s="6" t="s">
        <v>34</v>
      </c>
    </row>
    <row r="374" spans="1:8" x14ac:dyDescent="0.35">
      <c r="A374" s="6" t="s">
        <v>5</v>
      </c>
      <c r="B374" s="6" t="s">
        <v>18</v>
      </c>
      <c r="C374" s="21">
        <v>6941</v>
      </c>
      <c r="D374" s="19">
        <v>41810</v>
      </c>
      <c r="E374" s="6" t="s">
        <v>88</v>
      </c>
      <c r="F374" s="6" t="s">
        <v>48</v>
      </c>
      <c r="G374" s="6" t="s">
        <v>37</v>
      </c>
      <c r="H374" s="6" t="s">
        <v>29</v>
      </c>
    </row>
    <row r="375" spans="1:8" x14ac:dyDescent="0.35">
      <c r="A375" s="6" t="s">
        <v>4</v>
      </c>
      <c r="B375" s="6" t="s">
        <v>15</v>
      </c>
      <c r="C375" s="21">
        <v>7231</v>
      </c>
      <c r="D375" s="19">
        <v>41810</v>
      </c>
      <c r="E375" s="6" t="s">
        <v>132</v>
      </c>
      <c r="F375" s="6" t="s">
        <v>50</v>
      </c>
      <c r="G375" s="6" t="s">
        <v>41</v>
      </c>
      <c r="H375" s="6" t="s">
        <v>34</v>
      </c>
    </row>
    <row r="376" spans="1:8" x14ac:dyDescent="0.35">
      <c r="A376" s="6" t="s">
        <v>4</v>
      </c>
      <c r="B376" s="6" t="s">
        <v>18</v>
      </c>
      <c r="C376" s="21">
        <v>8891</v>
      </c>
      <c r="D376" s="19">
        <v>41813</v>
      </c>
      <c r="E376" s="6" t="s">
        <v>133</v>
      </c>
      <c r="F376" s="6" t="s">
        <v>134</v>
      </c>
      <c r="G376" s="6" t="s">
        <v>63</v>
      </c>
      <c r="H376" s="6" t="s">
        <v>34</v>
      </c>
    </row>
    <row r="377" spans="1:8" x14ac:dyDescent="0.35">
      <c r="A377" s="6" t="s">
        <v>5</v>
      </c>
      <c r="B377" s="6" t="s">
        <v>16</v>
      </c>
      <c r="C377" s="21">
        <v>107</v>
      </c>
      <c r="D377" s="19">
        <v>41815</v>
      </c>
      <c r="E377" s="6" t="s">
        <v>104</v>
      </c>
      <c r="F377" s="6" t="s">
        <v>57</v>
      </c>
      <c r="G377" s="6" t="s">
        <v>41</v>
      </c>
      <c r="H377" s="6" t="s">
        <v>29</v>
      </c>
    </row>
    <row r="378" spans="1:8" x14ac:dyDescent="0.35">
      <c r="A378" s="6" t="s">
        <v>5</v>
      </c>
      <c r="B378" s="6" t="s">
        <v>16</v>
      </c>
      <c r="C378" s="21">
        <v>4243</v>
      </c>
      <c r="D378" s="19">
        <v>41816</v>
      </c>
      <c r="E378" s="6" t="s">
        <v>135</v>
      </c>
      <c r="F378" s="6" t="s">
        <v>50</v>
      </c>
      <c r="G378" s="6" t="s">
        <v>41</v>
      </c>
      <c r="H378" s="6" t="s">
        <v>38</v>
      </c>
    </row>
    <row r="379" spans="1:8" x14ac:dyDescent="0.35">
      <c r="A379" s="6" t="s">
        <v>9</v>
      </c>
      <c r="B379" s="6" t="s">
        <v>18</v>
      </c>
      <c r="C379" s="21">
        <v>4514</v>
      </c>
      <c r="D379" s="19">
        <v>41817</v>
      </c>
      <c r="E379" s="6" t="s">
        <v>136</v>
      </c>
      <c r="F379" s="6" t="s">
        <v>36</v>
      </c>
      <c r="G379" s="6" t="s">
        <v>37</v>
      </c>
      <c r="H379" s="6" t="s">
        <v>46</v>
      </c>
    </row>
    <row r="380" spans="1:8" x14ac:dyDescent="0.35">
      <c r="A380" s="6" t="s">
        <v>8</v>
      </c>
      <c r="B380" s="6" t="s">
        <v>16</v>
      </c>
      <c r="C380" s="21">
        <v>5480</v>
      </c>
      <c r="D380" s="19">
        <v>41822</v>
      </c>
      <c r="E380" s="6" t="s">
        <v>61</v>
      </c>
      <c r="F380" s="6" t="s">
        <v>62</v>
      </c>
      <c r="G380" s="6" t="s">
        <v>63</v>
      </c>
      <c r="H380" s="6" t="s">
        <v>29</v>
      </c>
    </row>
    <row r="381" spans="1:8" x14ac:dyDescent="0.35">
      <c r="A381" s="6" t="s">
        <v>5</v>
      </c>
      <c r="B381" s="6" t="s">
        <v>18</v>
      </c>
      <c r="C381" s="21">
        <v>5002</v>
      </c>
      <c r="D381" s="19">
        <v>41822</v>
      </c>
      <c r="E381" s="6" t="s">
        <v>30</v>
      </c>
      <c r="F381" s="6" t="s">
        <v>31</v>
      </c>
      <c r="G381" s="6" t="s">
        <v>28</v>
      </c>
      <c r="H381" s="6" t="s">
        <v>42</v>
      </c>
    </row>
    <row r="382" spans="1:8" x14ac:dyDescent="0.35">
      <c r="A382" s="6" t="s">
        <v>5</v>
      </c>
      <c r="B382" s="6" t="s">
        <v>16</v>
      </c>
      <c r="C382" s="21">
        <v>8530</v>
      </c>
      <c r="D382" s="19">
        <v>41825</v>
      </c>
      <c r="E382" s="6" t="s">
        <v>98</v>
      </c>
      <c r="F382" s="6" t="s">
        <v>99</v>
      </c>
      <c r="G382" s="6" t="s">
        <v>28</v>
      </c>
      <c r="H382" s="6" t="s">
        <v>34</v>
      </c>
    </row>
    <row r="383" spans="1:8" x14ac:dyDescent="0.35">
      <c r="A383" s="6" t="s">
        <v>4</v>
      </c>
      <c r="B383" s="6" t="s">
        <v>16</v>
      </c>
      <c r="C383" s="21">
        <v>6343</v>
      </c>
      <c r="D383" s="19">
        <v>41831</v>
      </c>
      <c r="E383" s="6" t="s">
        <v>137</v>
      </c>
      <c r="F383" s="6" t="s">
        <v>50</v>
      </c>
      <c r="G383" s="6" t="s">
        <v>41</v>
      </c>
      <c r="H383" s="6" t="s">
        <v>29</v>
      </c>
    </row>
    <row r="384" spans="1:8" x14ac:dyDescent="0.35">
      <c r="A384" s="6" t="s">
        <v>9</v>
      </c>
      <c r="B384" s="6" t="s">
        <v>15</v>
      </c>
      <c r="C384" s="21">
        <v>2318</v>
      </c>
      <c r="D384" s="19">
        <v>41833</v>
      </c>
      <c r="E384" s="6" t="s">
        <v>138</v>
      </c>
      <c r="F384" s="6" t="s">
        <v>50</v>
      </c>
      <c r="G384" s="6" t="s">
        <v>41</v>
      </c>
      <c r="H384" s="6" t="s">
        <v>42</v>
      </c>
    </row>
    <row r="385" spans="1:8" x14ac:dyDescent="0.35">
      <c r="A385" s="6" t="s">
        <v>9</v>
      </c>
      <c r="B385" s="6" t="s">
        <v>16</v>
      </c>
      <c r="C385" s="21">
        <v>220</v>
      </c>
      <c r="D385" s="19">
        <v>41840</v>
      </c>
      <c r="E385" s="6" t="s">
        <v>139</v>
      </c>
      <c r="F385" s="6" t="s">
        <v>48</v>
      </c>
      <c r="G385" s="6" t="s">
        <v>37</v>
      </c>
      <c r="H385" s="6" t="s">
        <v>42</v>
      </c>
    </row>
    <row r="386" spans="1:8" x14ac:dyDescent="0.35">
      <c r="A386" s="6" t="s">
        <v>10</v>
      </c>
      <c r="B386" s="6" t="s">
        <v>16</v>
      </c>
      <c r="C386" s="21">
        <v>330</v>
      </c>
      <c r="D386" s="19">
        <v>41840</v>
      </c>
      <c r="E386" s="6" t="s">
        <v>140</v>
      </c>
      <c r="F386" s="6" t="s">
        <v>50</v>
      </c>
      <c r="G386" s="6" t="s">
        <v>41</v>
      </c>
      <c r="H386" s="6" t="s">
        <v>29</v>
      </c>
    </row>
    <row r="387" spans="1:8" x14ac:dyDescent="0.35">
      <c r="A387" s="6" t="s">
        <v>4</v>
      </c>
      <c r="B387" s="6" t="s">
        <v>16</v>
      </c>
      <c r="C387" s="21">
        <v>3027</v>
      </c>
      <c r="D387" s="19">
        <v>41840</v>
      </c>
      <c r="E387" s="6" t="s">
        <v>141</v>
      </c>
      <c r="F387" s="6" t="s">
        <v>44</v>
      </c>
      <c r="G387" s="6" t="s">
        <v>45</v>
      </c>
      <c r="H387" s="6" t="s">
        <v>29</v>
      </c>
    </row>
    <row r="388" spans="1:8" x14ac:dyDescent="0.35">
      <c r="A388" s="6" t="s">
        <v>5</v>
      </c>
      <c r="B388" s="6" t="s">
        <v>16</v>
      </c>
      <c r="C388" s="21">
        <v>8986</v>
      </c>
      <c r="D388" s="19">
        <v>41843</v>
      </c>
      <c r="E388" s="6" t="s">
        <v>142</v>
      </c>
      <c r="F388" s="6" t="s">
        <v>50</v>
      </c>
      <c r="G388" s="6" t="s">
        <v>41</v>
      </c>
      <c r="H388" s="6" t="s">
        <v>38</v>
      </c>
    </row>
    <row r="389" spans="1:8" x14ac:dyDescent="0.35">
      <c r="A389" s="6" t="s">
        <v>10</v>
      </c>
      <c r="B389" s="6" t="s">
        <v>18</v>
      </c>
      <c r="C389" s="21">
        <v>7671</v>
      </c>
      <c r="D389" s="19">
        <v>41767</v>
      </c>
      <c r="E389" s="6" t="s">
        <v>109</v>
      </c>
      <c r="F389" s="6" t="s">
        <v>50</v>
      </c>
      <c r="G389" s="6" t="s">
        <v>41</v>
      </c>
      <c r="H389" s="6" t="s">
        <v>42</v>
      </c>
    </row>
    <row r="390" spans="1:8" x14ac:dyDescent="0.35">
      <c r="A390" s="6" t="s">
        <v>7</v>
      </c>
      <c r="B390" s="6" t="s">
        <v>19</v>
      </c>
      <c r="C390" s="21">
        <v>5791</v>
      </c>
      <c r="D390" s="19">
        <v>41767</v>
      </c>
      <c r="E390" s="6" t="s">
        <v>43</v>
      </c>
      <c r="F390" s="6" t="s">
        <v>44</v>
      </c>
      <c r="G390" s="6" t="s">
        <v>45</v>
      </c>
      <c r="H390" s="6" t="s">
        <v>34</v>
      </c>
    </row>
    <row r="391" spans="1:8" x14ac:dyDescent="0.35">
      <c r="A391" s="6" t="s">
        <v>5</v>
      </c>
      <c r="B391" s="6" t="s">
        <v>18</v>
      </c>
      <c r="C391" s="21">
        <v>6007</v>
      </c>
      <c r="D391" s="19">
        <v>41771</v>
      </c>
      <c r="E391" s="6" t="s">
        <v>110</v>
      </c>
      <c r="F391" s="6" t="s">
        <v>50</v>
      </c>
      <c r="G391" s="6" t="s">
        <v>41</v>
      </c>
      <c r="H391" s="6" t="s">
        <v>29</v>
      </c>
    </row>
    <row r="392" spans="1:8" x14ac:dyDescent="0.35">
      <c r="A392" s="6" t="s">
        <v>5</v>
      </c>
      <c r="B392" s="6" t="s">
        <v>18</v>
      </c>
      <c r="C392" s="21">
        <v>5030</v>
      </c>
      <c r="D392" s="19">
        <v>41773</v>
      </c>
      <c r="E392" s="6" t="s">
        <v>58</v>
      </c>
      <c r="F392" s="6" t="s">
        <v>57</v>
      </c>
      <c r="G392" s="6" t="s">
        <v>41</v>
      </c>
      <c r="H392" s="6" t="s">
        <v>42</v>
      </c>
    </row>
    <row r="393" spans="1:8" x14ac:dyDescent="0.35">
      <c r="A393" s="6" t="s">
        <v>7</v>
      </c>
      <c r="B393" s="6" t="s">
        <v>15</v>
      </c>
      <c r="C393" s="21">
        <v>6763</v>
      </c>
      <c r="D393" s="19">
        <v>41773</v>
      </c>
      <c r="E393" s="6" t="s">
        <v>54</v>
      </c>
      <c r="F393" s="6" t="s">
        <v>50</v>
      </c>
      <c r="G393" s="6" t="s">
        <v>41</v>
      </c>
      <c r="H393" s="6" t="s">
        <v>42</v>
      </c>
    </row>
    <row r="394" spans="1:8" x14ac:dyDescent="0.35">
      <c r="A394" s="6" t="s">
        <v>5</v>
      </c>
      <c r="B394" s="6" t="s">
        <v>16</v>
      </c>
      <c r="C394" s="21">
        <v>4248</v>
      </c>
      <c r="D394" s="19">
        <v>41774</v>
      </c>
      <c r="E394" s="6" t="s">
        <v>111</v>
      </c>
      <c r="F394" s="6" t="s">
        <v>50</v>
      </c>
      <c r="G394" s="6" t="s">
        <v>41</v>
      </c>
      <c r="H394" s="6" t="s">
        <v>29</v>
      </c>
    </row>
    <row r="395" spans="1:8" x14ac:dyDescent="0.35">
      <c r="A395" s="6" t="s">
        <v>5</v>
      </c>
      <c r="B395" s="6" t="s">
        <v>16</v>
      </c>
      <c r="C395" s="21">
        <v>9543</v>
      </c>
      <c r="D395" s="19">
        <v>41775</v>
      </c>
      <c r="E395" s="6" t="s">
        <v>112</v>
      </c>
      <c r="F395" s="6" t="s">
        <v>31</v>
      </c>
      <c r="G395" s="6" t="s">
        <v>28</v>
      </c>
      <c r="H395" s="6" t="s">
        <v>29</v>
      </c>
    </row>
    <row r="396" spans="1:8" x14ac:dyDescent="0.35">
      <c r="A396" s="6" t="s">
        <v>4</v>
      </c>
      <c r="B396" s="6" t="s">
        <v>16</v>
      </c>
      <c r="C396" s="21">
        <v>2054</v>
      </c>
      <c r="D396" s="19">
        <v>41775</v>
      </c>
      <c r="E396" s="6" t="s">
        <v>113</v>
      </c>
      <c r="F396" s="6" t="s">
        <v>69</v>
      </c>
      <c r="G396" s="6" t="s">
        <v>41</v>
      </c>
      <c r="H396" s="6" t="s">
        <v>38</v>
      </c>
    </row>
    <row r="397" spans="1:8" x14ac:dyDescent="0.35">
      <c r="A397" s="6" t="s">
        <v>6</v>
      </c>
      <c r="B397" s="6" t="s">
        <v>16</v>
      </c>
      <c r="C397" s="21">
        <v>7094</v>
      </c>
      <c r="D397" s="19">
        <v>41775</v>
      </c>
      <c r="E397" s="6" t="s">
        <v>114</v>
      </c>
      <c r="F397" s="6" t="s">
        <v>40</v>
      </c>
      <c r="G397" s="6" t="s">
        <v>41</v>
      </c>
      <c r="H397" s="6" t="s">
        <v>46</v>
      </c>
    </row>
    <row r="398" spans="1:8" x14ac:dyDescent="0.35">
      <c r="A398" s="6" t="s">
        <v>7</v>
      </c>
      <c r="B398" s="6" t="s">
        <v>16</v>
      </c>
      <c r="C398" s="21">
        <v>6087</v>
      </c>
      <c r="D398" s="19">
        <v>41777</v>
      </c>
      <c r="E398" s="6" t="s">
        <v>64</v>
      </c>
      <c r="F398" s="6" t="s">
        <v>57</v>
      </c>
      <c r="G398" s="6" t="s">
        <v>41</v>
      </c>
      <c r="H398" s="6" t="s">
        <v>46</v>
      </c>
    </row>
    <row r="399" spans="1:8" x14ac:dyDescent="0.35">
      <c r="A399" s="6" t="s">
        <v>10</v>
      </c>
      <c r="B399" s="6" t="s">
        <v>16</v>
      </c>
      <c r="C399" s="21">
        <v>4264</v>
      </c>
      <c r="D399" s="19">
        <v>41778</v>
      </c>
      <c r="E399" s="6" t="s">
        <v>115</v>
      </c>
      <c r="F399" s="6" t="s">
        <v>69</v>
      </c>
      <c r="G399" s="6" t="s">
        <v>41</v>
      </c>
      <c r="H399" s="6" t="s">
        <v>46</v>
      </c>
    </row>
    <row r="400" spans="1:8" x14ac:dyDescent="0.35">
      <c r="A400" s="6" t="s">
        <v>8</v>
      </c>
      <c r="B400" s="6" t="s">
        <v>15</v>
      </c>
      <c r="C400" s="21">
        <v>9333</v>
      </c>
      <c r="D400" s="19">
        <v>41779</v>
      </c>
      <c r="E400" s="6" t="s">
        <v>49</v>
      </c>
      <c r="F400" s="6" t="s">
        <v>50</v>
      </c>
      <c r="G400" s="6" t="s">
        <v>41</v>
      </c>
      <c r="H400" s="6" t="s">
        <v>34</v>
      </c>
    </row>
    <row r="401" spans="1:8" x14ac:dyDescent="0.35">
      <c r="A401" s="6" t="s">
        <v>8</v>
      </c>
      <c r="B401" s="6" t="s">
        <v>18</v>
      </c>
      <c r="C401" s="21">
        <v>8775</v>
      </c>
      <c r="D401" s="19">
        <v>41781</v>
      </c>
      <c r="E401" s="6" t="s">
        <v>116</v>
      </c>
      <c r="F401" s="6" t="s">
        <v>57</v>
      </c>
      <c r="G401" s="6" t="s">
        <v>41</v>
      </c>
      <c r="H401" s="6" t="s">
        <v>29</v>
      </c>
    </row>
    <row r="402" spans="1:8" x14ac:dyDescent="0.35">
      <c r="A402" s="6" t="s">
        <v>4</v>
      </c>
      <c r="B402" s="6" t="s">
        <v>16</v>
      </c>
      <c r="C402" s="21">
        <v>2011</v>
      </c>
      <c r="D402" s="19">
        <v>41782</v>
      </c>
      <c r="E402" s="6" t="s">
        <v>51</v>
      </c>
      <c r="F402" s="6" t="s">
        <v>52</v>
      </c>
      <c r="G402" s="6" t="s">
        <v>53</v>
      </c>
      <c r="H402" s="6" t="s">
        <v>34</v>
      </c>
    </row>
    <row r="403" spans="1:8" x14ac:dyDescent="0.35">
      <c r="A403" s="6" t="s">
        <v>5</v>
      </c>
      <c r="B403" s="6" t="s">
        <v>18</v>
      </c>
      <c r="C403" s="21">
        <v>5632</v>
      </c>
      <c r="D403" s="19">
        <v>41784</v>
      </c>
      <c r="E403" s="6" t="s">
        <v>117</v>
      </c>
      <c r="F403" s="6" t="s">
        <v>57</v>
      </c>
      <c r="G403" s="6" t="s">
        <v>41</v>
      </c>
      <c r="H403" s="6" t="s">
        <v>34</v>
      </c>
    </row>
    <row r="404" spans="1:8" x14ac:dyDescent="0.35">
      <c r="A404" s="6" t="s">
        <v>6</v>
      </c>
      <c r="B404" s="6" t="s">
        <v>18</v>
      </c>
      <c r="C404" s="21">
        <v>1002</v>
      </c>
      <c r="D404" s="19">
        <v>41784</v>
      </c>
      <c r="E404" s="6" t="s">
        <v>65</v>
      </c>
      <c r="F404" s="6" t="s">
        <v>66</v>
      </c>
      <c r="G404" s="6" t="s">
        <v>28</v>
      </c>
      <c r="H404" s="6" t="s">
        <v>29</v>
      </c>
    </row>
    <row r="405" spans="1:8" x14ac:dyDescent="0.35">
      <c r="A405" s="6" t="s">
        <v>9</v>
      </c>
      <c r="B405" s="6" t="s">
        <v>18</v>
      </c>
      <c r="C405" s="21">
        <v>8141</v>
      </c>
      <c r="D405" s="19">
        <v>41785</v>
      </c>
      <c r="E405" s="6" t="s">
        <v>118</v>
      </c>
      <c r="F405" s="6" t="s">
        <v>57</v>
      </c>
      <c r="G405" s="6" t="s">
        <v>41</v>
      </c>
      <c r="H405" s="6" t="s">
        <v>38</v>
      </c>
    </row>
    <row r="406" spans="1:8" x14ac:dyDescent="0.35">
      <c r="A406" s="6" t="s">
        <v>9</v>
      </c>
      <c r="B406" s="6" t="s">
        <v>18</v>
      </c>
      <c r="C406" s="21">
        <v>3644</v>
      </c>
      <c r="D406" s="19">
        <v>41785</v>
      </c>
      <c r="E406" s="6" t="s">
        <v>74</v>
      </c>
      <c r="F406" s="6" t="s">
        <v>36</v>
      </c>
      <c r="G406" s="6" t="s">
        <v>37</v>
      </c>
      <c r="H406" s="6" t="s">
        <v>46</v>
      </c>
    </row>
    <row r="407" spans="1:8" x14ac:dyDescent="0.35">
      <c r="A407" s="6" t="s">
        <v>9</v>
      </c>
      <c r="B407" s="6" t="s">
        <v>18</v>
      </c>
      <c r="C407" s="21">
        <v>1380</v>
      </c>
      <c r="D407" s="19">
        <v>41785</v>
      </c>
      <c r="E407" s="6" t="s">
        <v>119</v>
      </c>
      <c r="F407" s="6" t="s">
        <v>120</v>
      </c>
      <c r="G407" s="6" t="s">
        <v>41</v>
      </c>
      <c r="H407" s="6" t="s">
        <v>29</v>
      </c>
    </row>
    <row r="408" spans="1:8" x14ac:dyDescent="0.35">
      <c r="A408" s="6" t="s">
        <v>4</v>
      </c>
      <c r="B408" s="6" t="s">
        <v>16</v>
      </c>
      <c r="C408" s="21">
        <v>8354</v>
      </c>
      <c r="D408" s="19">
        <v>41785</v>
      </c>
      <c r="E408" s="6" t="s">
        <v>87</v>
      </c>
      <c r="F408" s="6" t="s">
        <v>52</v>
      </c>
      <c r="G408" s="6" t="s">
        <v>53</v>
      </c>
      <c r="H408" s="6" t="s">
        <v>42</v>
      </c>
    </row>
    <row r="409" spans="1:8" x14ac:dyDescent="0.35">
      <c r="A409" s="6" t="s">
        <v>5</v>
      </c>
      <c r="B409" s="6" t="s">
        <v>16</v>
      </c>
      <c r="C409" s="21">
        <v>5182</v>
      </c>
      <c r="D409" s="19">
        <v>41786</v>
      </c>
      <c r="E409" s="6" t="s">
        <v>121</v>
      </c>
      <c r="F409" s="6" t="s">
        <v>122</v>
      </c>
      <c r="G409" s="6" t="s">
        <v>37</v>
      </c>
      <c r="H409" s="6" t="s">
        <v>34</v>
      </c>
    </row>
    <row r="410" spans="1:8" x14ac:dyDescent="0.35">
      <c r="A410" s="6" t="s">
        <v>10</v>
      </c>
      <c r="B410" s="6" t="s">
        <v>16</v>
      </c>
      <c r="C410" s="21">
        <v>2193</v>
      </c>
      <c r="D410" s="19">
        <v>41786</v>
      </c>
      <c r="E410" s="6" t="s">
        <v>123</v>
      </c>
      <c r="F410" s="6" t="s">
        <v>84</v>
      </c>
      <c r="G410" s="6" t="s">
        <v>28</v>
      </c>
      <c r="H410" s="6" t="s">
        <v>29</v>
      </c>
    </row>
    <row r="411" spans="1:8" x14ac:dyDescent="0.35">
      <c r="A411" s="6" t="s">
        <v>8</v>
      </c>
      <c r="B411" s="6" t="s">
        <v>16</v>
      </c>
      <c r="C411" s="21">
        <v>3647</v>
      </c>
      <c r="D411" s="19">
        <v>41787</v>
      </c>
      <c r="E411" s="6" t="s">
        <v>124</v>
      </c>
      <c r="F411" s="6" t="s">
        <v>62</v>
      </c>
      <c r="G411" s="6" t="s">
        <v>63</v>
      </c>
      <c r="H411" s="6" t="s">
        <v>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30" zoomScaleNormal="30" workbookViewId="0">
      <selection activeCell="AW33" sqref="AW3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AC38"/>
  <sheetViews>
    <sheetView showGridLines="0" showRowColHeaders="0" tabSelected="1" zoomScale="30" zoomScaleNormal="30" workbookViewId="0">
      <selection activeCell="BI34" sqref="BI34"/>
    </sheetView>
  </sheetViews>
  <sheetFormatPr defaultRowHeight="14.5" x14ac:dyDescent="0.35"/>
  <cols>
    <col min="1" max="1" width="4.1796875" customWidth="1"/>
    <col min="27" max="27" width="4.08984375" customWidth="1"/>
    <col min="31" max="31" width="8.7265625" customWidth="1"/>
    <col min="47" max="50" width="8.7265625" customWidth="1"/>
  </cols>
  <sheetData>
    <row r="6" spans="2:29" s="12" customFormat="1" ht="36" x14ac:dyDescent="0.8">
      <c r="B6" s="27"/>
      <c r="C6" s="28"/>
      <c r="D6" s="28"/>
      <c r="E6" s="28"/>
      <c r="F6" s="28"/>
      <c r="G6" s="28"/>
      <c r="H6" s="28"/>
      <c r="I6" s="28"/>
      <c r="J6" s="28"/>
      <c r="K6" s="28"/>
      <c r="L6" s="28"/>
      <c r="M6" s="28"/>
      <c r="N6" s="28"/>
      <c r="O6" s="28"/>
      <c r="P6" s="28"/>
      <c r="Q6" s="28"/>
      <c r="R6" s="28"/>
      <c r="S6" s="28"/>
      <c r="T6" s="28"/>
      <c r="U6" s="28"/>
      <c r="V6" s="28"/>
      <c r="W6" s="28"/>
      <c r="X6" s="28"/>
      <c r="Y6" s="28"/>
      <c r="Z6" s="28"/>
      <c r="AA6" s="28"/>
      <c r="AB6" s="17"/>
      <c r="AC6" s="17"/>
    </row>
    <row r="7" spans="2:29" x14ac:dyDescent="0.35">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row>
    <row r="8" spans="2:29" x14ac:dyDescent="0.35">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row>
    <row r="9" spans="2:29" x14ac:dyDescent="0.35">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row>
    <row r="10" spans="2:29" x14ac:dyDescent="0.35">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2:29" x14ac:dyDescent="0.35">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2:29" x14ac:dyDescent="0.35">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2:29" x14ac:dyDescent="0.35">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2:29" x14ac:dyDescent="0.35">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2:29" x14ac:dyDescent="0.35">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2:29" x14ac:dyDescent="0.35">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2:29" x14ac:dyDescent="0.35">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2:29" x14ac:dyDescent="0.35">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2:29" x14ac:dyDescent="0.35">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2:29" x14ac:dyDescent="0.35">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2:29" x14ac:dyDescent="0.35">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2:29" x14ac:dyDescent="0.35">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2:29" x14ac:dyDescent="0.35">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2:29" ht="18.5" x14ac:dyDescent="0.45">
      <c r="B24" s="17"/>
      <c r="C24" s="18"/>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2:29" x14ac:dyDescent="0.35">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2:29" x14ac:dyDescent="0.35">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2:29" x14ac:dyDescent="0.35">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2:29" x14ac:dyDescent="0.35">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2:29" x14ac:dyDescent="0.35">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2:29" x14ac:dyDescent="0.35">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2:29" x14ac:dyDescent="0.35">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2:29" x14ac:dyDescent="0.35">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2:29" x14ac:dyDescent="0.35">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2:29" x14ac:dyDescent="0.35">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2:29" x14ac:dyDescent="0.35">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2:29" x14ac:dyDescent="0.35">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2:29" x14ac:dyDescent="0.35">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2:29" x14ac:dyDescent="0.35">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sheetData>
  <mergeCells count="1">
    <mergeCell ref="B6:AA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new Data</vt:lpstr>
      <vt:lpstr>Dashboard2</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2026-05-27T10:23:57Z</dcterms:created>
  <dcterms:modified xsi:type="dcterms:W3CDTF">2026-06-14T12:32:47Z</dcterms:modified>
</cp:coreProperties>
</file>